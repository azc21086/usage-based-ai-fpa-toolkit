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ethodology_Data" sheetId="2" state="visible" r:id="rId4"/>
    <sheet name="Inputs" sheetId="3" state="visible" r:id="rId5"/>
    <sheet name="Model_Low" sheetId="4" state="visible" r:id="rId6"/>
    <sheet name="Model_Base" sheetId="5" state="visible" r:id="rId7"/>
    <sheet name="Model_High"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<sst xmlns="http://schemas.openxmlformats.org/spreadsheetml/2006/main" count="593" uniqueCount="356">
  <si>
    <t xml:space="preserve">Usage-Based AI FP&amp;A Toolkit: Spreadsheet Model</t>
  </si>
  <si>
    <t xml:space="preserve">Version 1.0.0  |  Author: Ankit Chopra  |  License: MIT (free to use, share and adapt with attribution)</t>
  </si>
  <si>
    <t xml:space="preserve">What this is</t>
  </si>
  <si>
    <t xml:space="preserve">Purpose</t>
  </si>
  <si>
    <t xml:space="preserve">A simple, transparent Base Model for planning usage-based cloud and AI products. It links usage to revenue, LLM cost, cloud cost and gross margin, and expresses ROI as a risk-adjusted range instead of a single number.</t>
  </si>
  <si>
    <t xml:space="preserve">Where it comes from</t>
  </si>
  <si>
    <t xml:space="preserve">It turns the planning engine in Chopra, A. (2026), 'Financial Planning for Agentic &amp; AI Systems: Managing Volatility in the Age of Autonomy', California Management Review Insights, 17 Feb 2026 (https://cmr.berkeley.edu/2026/02/financial-planning-for-agentic-ai-systems-managing-volatility-in-the-age-of-autonomy/) into a working spreadsheet: usage drives cost, pricing converts usage to revenue, and ROI is a corridor between a standard ceiling and a risk-adjusted floor.</t>
  </si>
  <si>
    <t xml:space="preserve">Who it is for</t>
  </si>
  <si>
    <t xml:space="preserve">FP&amp;A, finance and product leaders planning AI features or AI-enabled products with usage-based, hybrid or prepaid pricing.</t>
  </si>
  <si>
    <t xml:space="preserve">Important</t>
  </si>
  <si>
    <t xml:space="preserve">All example numbers are synthetic and illustrative. They do not represent any company. Replace them with your own data before drawing conclusions. This is decision support: accountability for decisions stays with the people using it. It is not financial advice.</t>
  </si>
  <si>
    <t xml:space="preserve">Quick start (3 steps)</t>
  </si>
  <si>
    <t xml:space="preserve">1. Edit Inputs</t>
  </si>
  <si>
    <t xml:space="preserve">Go to the Inputs sheet. Change only blue-on-yellow cells. Start with the scenario levers, then usage, pricing, LLM cost, the three cloud rates, and the upfront investment. Check that the Input checks block shows OK.</t>
  </si>
  <si>
    <t xml:space="preserve">2. Read Summary</t>
  </si>
  <si>
    <t xml:space="preserve">The Summary sheet shows the ROI corridor (floor and ceiling), payback month, the adoption dip, annual results, cost mix, and whether unit costs are falling while total spend rises. Two charts show the dip and gross margin by month.</t>
  </si>
  <si>
    <t xml:space="preserve">3. Refine</t>
  </si>
  <si>
    <t xml:space="preserve">Use the three Model tabs (Low, Base, High) to trace any number. Each is a monthly build over 36 months with identical formulas. Add actuals on Inputs to compare realized ROI with plan.</t>
  </si>
  <si>
    <t xml:space="preserve">Sheet guide</t>
  </si>
  <si>
    <t xml:space="preserve">README</t>
  </si>
  <si>
    <t xml:space="preserve">This page.</t>
  </si>
  <si>
    <t xml:space="preserve">Methodology_Data</t>
  </si>
  <si>
    <t xml:space="preserve">Every formula in plain English, where to get each input, how to calibrate the cloud rates, the ROI method, limitations, and planned next versions.</t>
  </si>
  <si>
    <t xml:space="preserve">Inputs</t>
  </si>
  <si>
    <t xml:space="preserve">All assumptions in one place. Scenario levers have Low, Base and High columns. Everything else is a single value.</t>
  </si>
  <si>
    <t xml:space="preserve">Model_Low / Model_Base / Model_High</t>
  </si>
  <si>
    <t xml:space="preserve">Monthly model for each scenario: usage, revenue, cost of revenue, gross margin, cumulative position, unit economics.</t>
  </si>
  <si>
    <t xml:space="preserve">Summary</t>
  </si>
  <si>
    <t xml:space="preserve">Results and charts. Fully formula-driven.</t>
  </si>
  <si>
    <t xml:space="preserve">Colour legend</t>
  </si>
  <si>
    <t xml:space="preserve">Blue text, yellow fill</t>
  </si>
  <si>
    <t xml:space="preserve">Input: safe to edit.</t>
  </si>
  <si>
    <t xml:space="preserve">Black text</t>
  </si>
  <si>
    <t xml:space="preserve">Formula: do not overwrite.</t>
  </si>
  <si>
    <t xml:space="preserve">Green text</t>
  </si>
  <si>
    <t xml:space="preserve">Link to another sheet.</t>
  </si>
  <si>
    <t xml:space="preserve">Companion files</t>
  </si>
  <si>
    <t xml:space="preserve">Python script</t>
  </si>
  <si>
    <t xml:space="preserve">agentic_ai_fpa_model.py reproduces the same model from a JSON file and adds a Monte Carlo run. Results match this workbook.</t>
  </si>
  <si>
    <t xml:space="preserve">LLM package</t>
  </si>
  <si>
    <t xml:space="preserve">SKILL.md and prompt.md let you load the method into a custom GPT or similar assistant to build, edit and sense-check your own models.</t>
  </si>
  <si>
    <t xml:space="preserve">How to cite</t>
  </si>
  <si>
    <t xml:space="preserve">Chopra, A. (2026). Usage-Based AI FP&amp;A Toolkit (v1.0.0) [Software]. Companion to: Financial Planning for Agentic &amp; AI Systems, California Management Review Insights. Add the DOI or repository link here once published.</t>
  </si>
  <si>
    <t xml:space="preserve">Methodology and data guide</t>
  </si>
  <si>
    <t xml:space="preserve">How the model works, what data it needs, and where it stops being reliable.</t>
  </si>
  <si>
    <t xml:space="preserve">1. Model flow</t>
  </si>
  <si>
    <t xml:space="preserve">Flow</t>
  </si>
  <si>
    <t xml:space="preserve">Customers x interactions per customer = total interactions. Interactions x tokens per interaction = total tokens. Tokens x price (with a prepaid discount on part of the volume) = revenue. Tokens x provider cost x (1 - efficiency gain) = LLM cost. Interactions x fully loaded cloud rate x (1 - discount) = cloud cost. Revenue - all costs = gross margin.</t>
  </si>
  <si>
    <t xml:space="preserve">Matches the Base Model in the CMR article: usage forecast feeds both revenue and cost forecasts.</t>
  </si>
  <si>
    <t xml:space="preserve">Time and scenarios</t>
  </si>
  <si>
    <t xml:space="preserve">Monthly, 36 months, three scenarios (Low = conservative, Base, High = optimistic). Scenarios differ only in the five levers at the top of Inputs. Everything else is common.</t>
  </si>
  <si>
    <t xml:space="preserve">Scenario tabs share identical formulas so results are comparable.</t>
  </si>
  <si>
    <t xml:space="preserve">2. Formulas in plain English</t>
  </si>
  <si>
    <t xml:space="preserve">Formula</t>
  </si>
  <si>
    <t xml:space="preserve">Notes</t>
  </si>
  <si>
    <t xml:space="preserve">Active customers</t>
  </si>
  <si>
    <t xml:space="preserve">Starting customers x (1 + monthly growth) ^ (month - 1)</t>
  </si>
  <si>
    <t xml:space="preserve">Compound growth.</t>
  </si>
  <si>
    <t xml:space="preserve">Interactions per customer</t>
  </si>
  <si>
    <t xml:space="preserve">Month 1 interactions x (1 + monthly intensity growth) ^ (month - 1)</t>
  </si>
  <si>
    <t xml:space="preserve">Captures rising usage per customer.</t>
  </si>
  <si>
    <t xml:space="preserve">Total interactions</t>
  </si>
  <si>
    <t xml:space="preserve">Customers x interactions per customer</t>
  </si>
  <si>
    <t xml:space="preserve">The single driver for usage, revenue and cloud cost.</t>
  </si>
  <si>
    <t xml:space="preserve">Total tokens (000s)</t>
  </si>
  <si>
    <t xml:space="preserve">Interactions x tokens per interaction / 1,000</t>
  </si>
  <si>
    <t xml:space="preserve">Tokens held constant per interaction in v1.</t>
  </si>
  <si>
    <t xml:space="preserve">On-demand revenue</t>
  </si>
  <si>
    <t xml:space="preserve">Tokens (000s) x (1 - prepaid share) x price per 1,000 tokens</t>
  </si>
  <si>
    <t xml:space="preserve">Pay-as-you-go volume.</t>
  </si>
  <si>
    <t xml:space="preserve">Prepaid revenue</t>
  </si>
  <si>
    <t xml:space="preserve">Tokens (000s) x prepaid share x price x (1 - prepaid discount)</t>
  </si>
  <si>
    <t xml:space="preserve">Prepaid blocks sold at a discounted rate.</t>
  </si>
  <si>
    <t xml:space="preserve">Subscription revenue</t>
  </si>
  <si>
    <t xml:space="preserve">Customers x base subscription fee</t>
  </si>
  <si>
    <t xml:space="preserve">Zero by default. Use for hybrid pricing.</t>
  </si>
  <si>
    <t xml:space="preserve">LLM cost per 1,000 tokens</t>
  </si>
  <si>
    <t xml:space="preserve">Provider cost x (1 - annual decline) ^ ((month - 1) / 12)</t>
  </si>
  <si>
    <t xml:space="preserve">Annual decline compounded monthly.</t>
  </si>
  <si>
    <t xml:space="preserve">LLM cost</t>
  </si>
  <si>
    <t xml:space="preserve">Tokens (000s) x LLM cost per 1,000 tokens x (1 - efficiency gain)</t>
  </si>
  <si>
    <t xml:space="preserve">Efficiency gain applies to LLM cost only.</t>
  </si>
  <si>
    <t xml:space="preserve">Cloud cost factor</t>
  </si>
  <si>
    <t xml:space="preserve">(1 - annual cloud decline) ^ ((month - 1) / 12) x (1 - cloud discount)</t>
  </si>
  <si>
    <t xml:space="preserve">One factor applied to all three components.</t>
  </si>
  <si>
    <t xml:space="preserve">Compute, storage, network cost</t>
  </si>
  <si>
    <t xml:space="preserve">Interactions / 1,000 x component rate x cloud cost factor</t>
  </si>
  <si>
    <t xml:space="preserve">Three rates, kept separate so the mix is visible.</t>
  </si>
  <si>
    <t xml:space="preserve">Fully loaded cloud cost</t>
  </si>
  <si>
    <t xml:space="preserve">Compute + storage + network</t>
  </si>
  <si>
    <t xml:space="preserve">Divide by interactions / 1,000 for cost per 1,000 interactions.</t>
  </si>
  <si>
    <t xml:space="preserve">Other cost of revenue</t>
  </si>
  <si>
    <t xml:space="preserve">Revenue x other cost of revenue %</t>
  </si>
  <si>
    <t xml:space="preserve">Support, monitoring, tooling.</t>
  </si>
  <si>
    <t xml:space="preserve">Gross margin</t>
  </si>
  <si>
    <t xml:space="preserve">Revenue - LLM cost - cloud cost - other cost</t>
  </si>
  <si>
    <t xml:space="preserve">Percent = gross margin / revenue.</t>
  </si>
  <si>
    <t xml:space="preserve">Cumulative net position</t>
  </si>
  <si>
    <t xml:space="preserve">Cumulative gross margin - upfront investment</t>
  </si>
  <si>
    <t xml:space="preserve">Negative early on: this is the adoption dip.</t>
  </si>
  <si>
    <t xml:space="preserve">Standard ROI (ceiling)</t>
  </si>
  <si>
    <t xml:space="preserve">(Cumulative gross margin over 36 months - investment) / investment</t>
  </si>
  <si>
    <t xml:space="preserve">Upper bound of the corridor.</t>
  </si>
  <si>
    <t xml:space="preserve">Risk-adjusted ROI (floor)</t>
  </si>
  <si>
    <t xml:space="preserve">(Cumulative gross margin x risk factor - investment) / investment</t>
  </si>
  <si>
    <t xml:space="preserve">Lower bound of the corridor.</t>
  </si>
  <si>
    <t xml:space="preserve">Risk factor</t>
  </si>
  <si>
    <t xml:space="preserve">(1 - technical haircut) x (1 - data readiness haircut) x (1 - adoption haircut)</t>
  </si>
  <si>
    <t xml:space="preserve">Simple, transparent combination. Replace if your governance process uses another method.</t>
  </si>
  <si>
    <t xml:space="preserve">Payback month</t>
  </si>
  <si>
    <t xml:space="preserve">First month cumulative net position is zero or higher</t>
  </si>
  <si>
    <t xml:space="preserve">Shows 'Beyond 36 months' if never reached.</t>
  </si>
  <si>
    <t xml:space="preserve">3. Data sources</t>
  </si>
  <si>
    <t xml:space="preserve">Where to find it</t>
  </si>
  <si>
    <t xml:space="preserve">Typical owner and refresh</t>
  </si>
  <si>
    <t xml:space="preserve">Customers, interactions</t>
  </si>
  <si>
    <t xml:space="preserve">Product analytics, billing system or usage metering.</t>
  </si>
  <si>
    <t xml:space="preserve">Product / data team. Monthly.</t>
  </si>
  <si>
    <t xml:space="preserve">Tokens per interaction, provider cost</t>
  </si>
  <si>
    <t xml:space="preserve">LLM provider usage dashboard or invoice. Weight input and output prices by actual token mix.</t>
  </si>
  <si>
    <t xml:space="preserve">Engineering / finance. Monthly.</t>
  </si>
  <si>
    <t xml:space="preserve">Price, prepaid share and discount</t>
  </si>
  <si>
    <t xml:space="preserve">Price list, order forms, billing system.</t>
  </si>
  <si>
    <t xml:space="preserve">Pricing / finance. Quarterly.</t>
  </si>
  <si>
    <t xml:space="preserve">Cloud rates (compute, storage, network)</t>
  </si>
  <si>
    <t xml:space="preserve">Cloud bill or FinOps export, tagged to the AI workload, divided by interactions. See calibration below.</t>
  </si>
  <si>
    <t xml:space="preserve">FinOps / finance. Monthly.</t>
  </si>
  <si>
    <t xml:space="preserve">Cloud discount</t>
  </si>
  <si>
    <t xml:space="preserve">Enterprise agreement, committed-use or reserved capacity terms. Use the blended effective discount.</t>
  </si>
  <si>
    <t xml:space="preserve">Procurement / finance. Quarterly.</t>
  </si>
  <si>
    <t xml:space="preserve">Support, monitoring and tooling cost allocated to the product, as a percent of revenue.</t>
  </si>
  <si>
    <t xml:space="preserve">Finance. Quarterly.</t>
  </si>
  <si>
    <t xml:space="preserve">Investment and haircuts</t>
  </si>
  <si>
    <t xml:space="preserve">Project budget and business case. Haircuts come from your risk review of technical, data and adoption uncertainty.</t>
  </si>
  <si>
    <t xml:space="preserve">Finance with product and engineering. At each stage gate.</t>
  </si>
  <si>
    <t xml:space="preserve">4. Calibrating the cloud rates</t>
  </si>
  <si>
    <t xml:space="preserve">Steps</t>
  </si>
  <si>
    <t xml:space="preserve">Worked illustration (synthetic)</t>
  </si>
  <si>
    <t xml:space="preserve">Preferred: from the bill</t>
  </si>
  <si>
    <t xml:space="preserve">Take the last three months of spend for each component, tagged to the AI workload. Divide each by (interactions in the same three months / 1,000). This gives three rates in $ per 1,000 interactions.</t>
  </si>
  <si>
    <t xml:space="preserve">Compute $36,000 over 3,000,000 interactions = $12.00 per 1,000.</t>
  </si>
  <si>
    <t xml:space="preserve">If you only have engineering data</t>
  </si>
  <si>
    <t xml:space="preserve">Convert each driver to dollars per 1,000 interactions: unit price x units used per 1,000 interactions.</t>
  </si>
  <si>
    <t xml:space="preserve">Compute: $4.00 per instance hour x 3 instance hours per 1,000 interactions = $12.00. Network: $0.09 per GB x 55 GB per 1,000 interactions = about $5.00.</t>
  </si>
  <si>
    <t xml:space="preserve">Avoid double counting</t>
  </si>
  <si>
    <t xml:space="preserve">Enter rates at list-equivalent cost if you apply a discount on Inputs. If your rates already include discounts, set the discount to 0%.</t>
  </si>
  <si>
    <t xml:space="preserve">One or the other, not both.</t>
  </si>
  <si>
    <t xml:space="preserve">Why separate components</t>
  </si>
  <si>
    <t xml:space="preserve">The mix shows what drives cloud cost and which component grows fastest as usage scales. It is an output on the Summary sheet.</t>
  </si>
  <si>
    <t xml:space="preserve">5. ROI method</t>
  </si>
  <si>
    <t xml:space="preserve">Detail</t>
  </si>
  <si>
    <t xml:space="preserve">Three stages</t>
  </si>
  <si>
    <t xml:space="preserve">Pre-investment: ROI is a corridor with a standard ceiling and a risk-adjusted floor. Implementation: the cumulative net position shows the adoption dip and payback. Production: replace plan with actuals and compare realized ROI with plan at the same month.</t>
  </si>
  <si>
    <t xml:space="preserve">Follows the three-stage ROI governance framework (evaluation, adoption dip, realized returns).</t>
  </si>
  <si>
    <t xml:space="preserve">Assumptions</t>
  </si>
  <si>
    <t xml:space="preserve">Net gain = cumulative gross margin over 36 months. Investment = upfront investment input. Risk haircuts combine by multiplication.</t>
  </si>
  <si>
    <t xml:space="preserve">These are modelling choices, not rules. Change them if your finance policy differs.</t>
  </si>
  <si>
    <t xml:space="preserve">6. Limitations</t>
  </si>
  <si>
    <t xml:space="preserve">Simplifications in v1</t>
  </si>
  <si>
    <t xml:space="preserve">One blended cloud discount (no commitment minimum or take-or-pay shortfall). Tokens per interaction are constant. Efficiency gain is constant and applied to LLM cost only. No seasonality. Three discrete scenarios rather than probabilities (the Python script adds a Monte Carlo run). Gross margin is the benefit; operating expenses are not modelled. Single currency, no taxes or financing.</t>
  </si>
  <si>
    <t xml:space="preserve">Good for planning conversations and sensitivities. Not a substitute for an audited forecast.</t>
  </si>
  <si>
    <t xml:space="preserve">Data quality</t>
  </si>
  <si>
    <t xml:space="preserve">Results are only as good as the inputs. Re-calibrate rates and discounts regularly because AI unit costs change quickly.</t>
  </si>
  <si>
    <t xml:space="preserve">7. Next versions</t>
  </si>
  <si>
    <t xml:space="preserve">Ideas, not in v1</t>
  </si>
  <si>
    <t xml:space="preserve">Cohort and price-elasticity models, outcome-linked pricing, commitment minimums, multi-cloud and per-service views, and an ML ensemble layer that learns from actuals.</t>
  </si>
  <si>
    <t xml:space="preserve">Contributions and suggestions welcome.</t>
  </si>
  <si>
    <t xml:space="preserve">8. Licence, version, citation</t>
  </si>
  <si>
    <t xml:space="preserve">Licence</t>
  </si>
  <si>
    <t xml:space="preserve">MIT. Free to use, copy, modify and share with attribution.</t>
  </si>
  <si>
    <t xml:space="preserve">Version</t>
  </si>
  <si>
    <t xml:space="preserve">1.0.0</t>
  </si>
  <si>
    <t xml:space="preserve">Cite as</t>
  </si>
  <si>
    <t xml:space="preserve">Chopra, A. (2026). Usage-Based AI FP&amp;A Toolkit (v1.0.0). Companion to 'Financial Planning for Agentic &amp; AI Systems: Managing Volatility in the Age of Autonomy', California Management Review Insights.</t>
  </si>
  <si>
    <t xml:space="preserve">Add DOI or repository link once published.</t>
  </si>
  <si>
    <t xml:space="preserve">Inputs: every assumption lives on this sheet</t>
  </si>
  <si>
    <t xml:space="preserve">Blue text on yellow = cell you can edit. Black = formula. All example values are synthetic and illustrative; replace them with your own.</t>
  </si>
  <si>
    <t xml:space="preserve">Scenario levers</t>
  </si>
  <si>
    <t xml:space="preserve">Unit</t>
  </si>
  <si>
    <t xml:space="preserve">Low</t>
  </si>
  <si>
    <t xml:space="preserve">Base</t>
  </si>
  <si>
    <t xml:space="preserve">High</t>
  </si>
  <si>
    <t xml:space="preserve">Monthly customer growth</t>
  </si>
  <si>
    <t xml:space="preserve">% per month</t>
  </si>
  <si>
    <t xml:space="preserve">Net growth in active customers. Low = conservative case, High = optimistic case.</t>
  </si>
  <si>
    <t xml:space="preserve">Monthly growth in interactions per customer</t>
  </si>
  <si>
    <t xml:space="preserve">Usage intensity. Captures rising consumption per customer (the Jevons pattern).</t>
  </si>
  <si>
    <t xml:space="preserve">Annual LLM token cost decline</t>
  </si>
  <si>
    <t xml:space="preserve">% per year</t>
  </si>
  <si>
    <t xml:space="preserve">Decline in provider cost per 1,000 tokens, compounded monthly.</t>
  </si>
  <si>
    <t xml:space="preserve">Annual cloud unit cost decline</t>
  </si>
  <si>
    <t xml:space="preserve">Decline in fully loaded cloud cost per 1,000 interactions, compounded monthly.</t>
  </si>
  <si>
    <t xml:space="preserve">Efficiency gain on LLM cost</t>
  </si>
  <si>
    <t xml:space="preserve">% of LLM cost</t>
  </si>
  <si>
    <t xml:space="preserve">Savings from caching, distillation, retrieval design, batch vs real-time. Applied to LLM cost only.</t>
  </si>
  <si>
    <t xml:space="preserve">Common inputs (all scenarios)</t>
  </si>
  <si>
    <t xml:space="preserve">Value</t>
  </si>
  <si>
    <t xml:space="preserve">Notes / where to get it</t>
  </si>
  <si>
    <t xml:space="preserve">Usage</t>
  </si>
  <si>
    <t xml:space="preserve">Starting active customers (month 1)</t>
  </si>
  <si>
    <t xml:space="preserve">count</t>
  </si>
  <si>
    <t xml:space="preserve">Product analytics or billing system.</t>
  </si>
  <si>
    <t xml:space="preserve">Interactions per customer per month (month 1)</t>
  </si>
  <si>
    <t xml:space="preserve">An interaction = one user request handled by the AI system. Product analytics.</t>
  </si>
  <si>
    <t xml:space="preserve">Tokens per interaction (input + output)</t>
  </si>
  <si>
    <t xml:space="preserve">tokens</t>
  </si>
  <si>
    <t xml:space="preserve">LLM provider usage dashboard: total tokens divided by interactions.</t>
  </si>
  <si>
    <t xml:space="preserve">Pricing and revenue</t>
  </si>
  <si>
    <t xml:space="preserve">Customer price per 1,000 tokens (on-demand)</t>
  </si>
  <si>
    <t xml:space="preserve">$</t>
  </si>
  <si>
    <t xml:space="preserve">Your price list or effective on-demand rate.</t>
  </si>
  <si>
    <t xml:space="preserve">Prepaid share of token volume</t>
  </si>
  <si>
    <t xml:space="preserve">%</t>
  </si>
  <si>
    <t xml:space="preserve">Share of volume sold in prepaid blocks or commitments.</t>
  </si>
  <si>
    <t xml:space="preserve">Prepaid discount vs on-demand price</t>
  </si>
  <si>
    <t xml:space="preserve">Average discount given on prepaid volume.</t>
  </si>
  <si>
    <t xml:space="preserve">Base subscription fee per customer per month</t>
  </si>
  <si>
    <t xml:space="preserve">Optional. Enter a fee to model hybrid pricing; leave at 0 for pure usage-based pricing.</t>
  </si>
  <si>
    <t xml:space="preserve">Provider cost per 1,000 tokens (blended input and output)</t>
  </si>
  <si>
    <t xml:space="preserve">Weight input and output prices by your actual token mix.</t>
  </si>
  <si>
    <t xml:space="preserve">Cloud cost (fully loaded, per 1,000 interactions, before discount)</t>
  </si>
  <si>
    <t xml:space="preserve">Compute</t>
  </si>
  <si>
    <t xml:space="preserve">$ per 1,000 interactions</t>
  </si>
  <si>
    <t xml:space="preserve">Compute spend divided by (interactions / 1,000). See Methodology_Data.</t>
  </si>
  <si>
    <t xml:space="preserve">Storage</t>
  </si>
  <si>
    <t xml:space="preserve">Storage spend divided by (interactions / 1,000).</t>
  </si>
  <si>
    <t xml:space="preserve">Network (egress, ingress, transfer)</t>
  </si>
  <si>
    <t xml:space="preserve">Network spend divided by (interactions / 1,000).</t>
  </si>
  <si>
    <t xml:space="preserve">Cloud discount (applied to all three components)</t>
  </si>
  <si>
    <t xml:space="preserve">Blended enterprise or committed-use discount. Do not enter rates that are already net of discount AND a discount here.</t>
  </si>
  <si>
    <t xml:space="preserve">Other cost of revenue (support, monitoring, tooling)</t>
  </si>
  <si>
    <t xml:space="preserve">% of revenue</t>
  </si>
  <si>
    <t xml:space="preserve">Finance estimate.</t>
  </si>
  <si>
    <t xml:space="preserve">Investment and risk (for the ROI corridor)</t>
  </si>
  <si>
    <t xml:space="preserve">Upfront investment</t>
  </si>
  <si>
    <t xml:space="preserve">Build, integration and launch cost for the initiative.</t>
  </si>
  <si>
    <t xml:space="preserve">Technical risk haircut</t>
  </si>
  <si>
    <t xml:space="preserve">Uncertainty in model or system performance.</t>
  </si>
  <si>
    <t xml:space="preserve">Data readiness haircut</t>
  </si>
  <si>
    <t xml:space="preserve">Uncertainty in data quality and availability.</t>
  </si>
  <si>
    <t xml:space="preserve">Adoption haircut</t>
  </si>
  <si>
    <t xml:space="preserve">Uncertainty in user and customer adoption.</t>
  </si>
  <si>
    <t xml:space="preserve">Combined risk factor</t>
  </si>
  <si>
    <t xml:space="preserve">factor</t>
  </si>
  <si>
    <t xml:space="preserve">Calculated: (1 - technical) x (1 - data) x (1 - adoption). Applied to the benefit to get the ROI floor.</t>
  </si>
  <si>
    <t xml:space="preserve">Production stage: actuals (optional)</t>
  </si>
  <si>
    <t xml:space="preserve">Months of actuals</t>
  </si>
  <si>
    <t xml:space="preserve">months</t>
  </si>
  <si>
    <t xml:space="preserve">Number of months since launch for which you have actual results (1 to 36).</t>
  </si>
  <si>
    <t xml:space="preserve">Actual investment to date</t>
  </si>
  <si>
    <t xml:space="preserve">Illustrative example. Replace with actuals.</t>
  </si>
  <si>
    <t xml:space="preserve">Actual cumulative gross margin to date</t>
  </si>
  <si>
    <t xml:space="preserve">Input checks</t>
  </si>
  <si>
    <t xml:space="preserve">Status</t>
  </si>
  <si>
    <t xml:space="preserve">What it tests</t>
  </si>
  <si>
    <t xml:space="preserve">Prepaid share between 0% and 100%</t>
  </si>
  <si>
    <t xml:space="preserve">Share must be a fraction between 0 and 1.</t>
  </si>
  <si>
    <t xml:space="preserve">Discounts below 100%</t>
  </si>
  <si>
    <t xml:space="preserve">A 100% discount would zero out revenue or cost.</t>
  </si>
  <si>
    <t xml:space="preserve">Risk haircuts below 100%</t>
  </si>
  <si>
    <t xml:space="preserve">Each haircut must be below 100%.</t>
  </si>
  <si>
    <t xml:space="preserve">Months of actuals between 1 and 36</t>
  </si>
  <si>
    <t xml:space="preserve">Needed for the realized-vs-plan comparison.</t>
  </si>
  <si>
    <t xml:space="preserve">Scenario levers ordered Low &lt;= Base &lt;= High</t>
  </si>
  <si>
    <t xml:space="preserve">Keeps Low conservative and High optimistic.</t>
  </si>
  <si>
    <t xml:space="preserve">Monthly model: Low scenario</t>
  </si>
  <si>
    <t xml:space="preserve">Scenario levers (linked from Inputs)</t>
  </si>
  <si>
    <t xml:space="preserve">Line item</t>
  </si>
  <si>
    <t xml:space="preserve">Year</t>
  </si>
  <si>
    <t xml:space="preserve">Tokens per interaction</t>
  </si>
  <si>
    <t xml:space="preserve">000s</t>
  </si>
  <si>
    <t xml:space="preserve">Revenue</t>
  </si>
  <si>
    <t xml:space="preserve">On-demand tokens (000s)</t>
  </si>
  <si>
    <t xml:space="preserve">Prepaid tokens (000s)</t>
  </si>
  <si>
    <t xml:space="preserve">Prepaid revenue (discounted rate)</t>
  </si>
  <si>
    <t xml:space="preserve">Total revenue</t>
  </si>
  <si>
    <t xml:space="preserve">Cost of revenue</t>
  </si>
  <si>
    <t xml:space="preserve">LLM cost per 1,000 tokens (after decline)</t>
  </si>
  <si>
    <t xml:space="preserve">LLM cost (after efficiency gain)</t>
  </si>
  <si>
    <t xml:space="preserve">Cloud cost factor (price decline x (1 - discount))</t>
  </si>
  <si>
    <t xml:space="preserve">Cloud: compute</t>
  </si>
  <si>
    <t xml:space="preserve">Cloud: storage</t>
  </si>
  <si>
    <t xml:space="preserve">Cloud: network</t>
  </si>
  <si>
    <t xml:space="preserve">Cloud cost (total)</t>
  </si>
  <si>
    <t xml:space="preserve">Total cost of revenue</t>
  </si>
  <si>
    <t xml:space="preserve">Margin and ROI position</t>
  </si>
  <si>
    <t xml:space="preserve">Gross margin %</t>
  </si>
  <si>
    <t xml:space="preserve">Cumulative gross margin</t>
  </si>
  <si>
    <t xml:space="preserve">Cumulative net position (after upfront investment)</t>
  </si>
  <si>
    <t xml:space="preserve">Break-even reached (1 = yes)</t>
  </si>
  <si>
    <t xml:space="preserve">flag</t>
  </si>
  <si>
    <t xml:space="preserve">Unit economics</t>
  </si>
  <si>
    <t xml:space="preserve">Revenue per 1,000 interactions</t>
  </si>
  <si>
    <t xml:space="preserve">Total cost per 1,000 interactions</t>
  </si>
  <si>
    <t xml:space="preserve">Cloud cost per 1,000 interactions (fully loaded, after discount)</t>
  </si>
  <si>
    <t xml:space="preserve">Monthly model: Base scenario</t>
  </si>
  <si>
    <t xml:space="preserve">Monthly model: High scenario</t>
  </si>
  <si>
    <t xml:space="preserve">Summary: ROI corridor, annual results and unit economics</t>
  </si>
  <si>
    <t xml:space="preserve">Everything on this sheet is formula-driven from the Model tabs and the Inputs sheet.</t>
  </si>
  <si>
    <t xml:space="preserve">ROI corridor (pre-investment evaluation)</t>
  </si>
  <si>
    <t xml:space="preserve">How to read it</t>
  </si>
  <si>
    <t xml:space="preserve">Upfront investment ($)</t>
  </si>
  <si>
    <t xml:space="preserve">From Inputs.</t>
  </si>
  <si>
    <t xml:space="preserve">Cumulative gross margin, 36 months ($)</t>
  </si>
  <si>
    <t xml:space="preserve">Net gain before investment: the benefit used for ROI.</t>
  </si>
  <si>
    <t xml:space="preserve">ROI ceiling: standard ROI</t>
  </si>
  <si>
    <t xml:space="preserve">(Cumulative gross margin - investment) / investment.</t>
  </si>
  <si>
    <t xml:space="preserve">From Inputs: (1 - technical) x (1 - data) x (1 - adoption).</t>
  </si>
  <si>
    <t xml:space="preserve">Risk-adjusted cumulative benefit ($)</t>
  </si>
  <si>
    <t xml:space="preserve">Benefit after the risk haircut.</t>
  </si>
  <si>
    <t xml:space="preserve">ROI floor: risk-adjusted ROI</t>
  </si>
  <si>
    <t xml:space="preserve">(Risk-adjusted benefit - investment) / investment.</t>
  </si>
  <si>
    <t xml:space="preserve">First month cumulative gross margin recovers the upfront investment.</t>
  </si>
  <si>
    <t xml:space="preserve">Adoption dip: lowest cumulative net position ($)</t>
  </si>
  <si>
    <t xml:space="preserve">Depth of the dip while costs are front-loaded and returns are building.</t>
  </si>
  <si>
    <t xml:space="preserve">Adoption dip: month of lowest position</t>
  </si>
  <si>
    <t xml:space="preserve">Month at which the position stops getting worse.</t>
  </si>
  <si>
    <t xml:space="preserve">Corridor across scenarios</t>
  </si>
  <si>
    <t xml:space="preserve">ROI</t>
  </si>
  <si>
    <t xml:space="preserve">Floor: Low scenario, risk-adjusted ROI</t>
  </si>
  <si>
    <t xml:space="preserve">Base case floor (risk-adjusted)</t>
  </si>
  <si>
    <t xml:space="preserve">Base case ceiling (standard)</t>
  </si>
  <si>
    <t xml:space="preserve">Ceiling: High scenario, standard ROI</t>
  </si>
  <si>
    <t xml:space="preserve">Production stage: realized ROI vs plan (Base)</t>
  </si>
  <si>
    <t xml:space="preserve">Realized ROI to date</t>
  </si>
  <si>
    <t xml:space="preserve">(Actual cumulative gross margin - actual investment) / actual investment.</t>
  </si>
  <si>
    <t xml:space="preserve">Plan ROI at the same month (Base)</t>
  </si>
  <si>
    <t xml:space="preserve">Same formula applied to the Base plan, so the comparison is like for like.</t>
  </si>
  <si>
    <t xml:space="preserve">Gap: realized minus plan (percentage points)</t>
  </si>
  <si>
    <t xml:space="preserve">Positive = ahead of plan. Use it to narrow the gap between projection and delivered result.</t>
  </si>
  <si>
    <t xml:space="preserve">Annual summary</t>
  </si>
  <si>
    <t xml:space="preserve">Scenario and metric</t>
  </si>
  <si>
    <t xml:space="preserve">   Revenue ($)</t>
  </si>
  <si>
    <t xml:space="preserve">   Total cost of revenue ($)</t>
  </si>
  <si>
    <t xml:space="preserve">   Gross margin ($)</t>
  </si>
  <si>
    <t xml:space="preserve">   Gross margin %</t>
  </si>
  <si>
    <t xml:space="preserve">Cost mix over 36 months (share of total cost of revenue)</t>
  </si>
  <si>
    <t xml:space="preserve">LLM</t>
  </si>
  <si>
    <t xml:space="preserve">Shows which cloud component to attack first as usage scales.</t>
  </si>
  <si>
    <t xml:space="preserve">Other</t>
  </si>
  <si>
    <t xml:space="preserve">Check: shares sum to 100%</t>
  </si>
  <si>
    <t xml:space="preserve">Unit costs fall while total spend rises</t>
  </si>
  <si>
    <t xml:space="preserve">Total cost per 1,000 interactions, month 1</t>
  </si>
  <si>
    <t xml:space="preserve">Total cost per 1,000 interactions, month 36</t>
  </si>
  <si>
    <t xml:space="preserve">Change in unit cost</t>
  </si>
  <si>
    <t xml:space="preserve">Negative = unit cost is falling.</t>
  </si>
  <si>
    <t xml:space="preserve">Total cost of revenue, Year 1 ($)</t>
  </si>
  <si>
    <t xml:space="preserve">Total cost of revenue, Year 3 ($)</t>
  </si>
  <si>
    <t xml:space="preserve">Change in total spend, Year 1 to Year 3</t>
  </si>
  <si>
    <t xml:space="preserve">Positive while unit cost falls = the Jevons pattern: volume growth outruns unit savings.</t>
  </si>
  <si>
    <t xml:space="preserve">Cloud cost as % of revenue (36 months)</t>
  </si>
  <si>
    <t xml:space="preserve">LLM cost as % of revenue (36 months)</t>
  </si>
  <si>
    <t xml:space="preserve">Model integrity checks</t>
  </si>
  <si>
    <t xml:space="preserve">Revenue less cost equals gross margin (all scenarios)</t>
  </si>
  <si>
    <t xml:space="preserve">Annual gross margin sums to cumulative gross margin (Base)</t>
  </si>
  <si>
    <t xml:space="preserve">Input checks on the Inputs sheet</t>
  </si>
</sst>
</file>

<file path=xl/styles.xml><?xml version="1.0" encoding="utf-8"?>
<styleSheet xmlns="http://schemas.openxmlformats.org/spreadsheetml/2006/main">
  <numFmts count="13">
    <numFmt numFmtId="164" formatCode="General"/>
    <numFmt numFmtId="165" formatCode="0.0%"/>
    <numFmt numFmtId="166" formatCode="#,##0"/>
    <numFmt numFmtId="167" formatCode="\$0.0000"/>
    <numFmt numFmtId="168" formatCode="\$#,##0.00"/>
    <numFmt numFmtId="169" formatCode="\$#,##0;&quot;($&quot;#,##0\);\-"/>
    <numFmt numFmtId="170" formatCode="0.0000"/>
    <numFmt numFmtId="171" formatCode="\M0"/>
    <numFmt numFmtId="172" formatCode="&quot;Year &quot;0"/>
    <numFmt numFmtId="173" formatCode="0.0%;\(0.0%\);\-"/>
    <numFmt numFmtId="174" formatCode="0"/>
    <numFmt numFmtId="175" formatCode="\$#,##0"/>
    <numFmt numFmtId="176"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1" shrinkToFit="false"/>
      <protection locked="true" hidden="false"/>
    </xf>
    <xf numFmtId="164" fontId="8" fillId="0" borderId="0" xfId="0" applyFont="true" applyBorder="false" applyAlignment="true" applyProtection="false">
      <alignment horizontal="left" vertical="top" textRotation="0" wrapText="tru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right" vertical="bottom" textRotation="0" wrapText="false" indent="0" shrinkToFit="false"/>
      <protection locked="true" hidden="false"/>
    </xf>
    <xf numFmtId="174" fontId="10"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73" fontId="10" fillId="0" borderId="0" xfId="0" applyFont="true" applyBorder="false" applyAlignment="true" applyProtection="false">
      <alignment horizontal="right" vertical="bottom" textRotation="0" wrapText="false" indent="0" shrinkToFit="false"/>
      <protection locked="true" hidden="false"/>
    </xf>
    <xf numFmtId="172" fontId="6" fillId="2" borderId="0" xfId="0" applyFont="true" applyBorder="false" applyAlignment="true" applyProtection="false">
      <alignment horizontal="center" vertical="center" textRotation="0" wrapText="true" indent="0" shrinkToFit="false"/>
      <protection locked="true" hidden="false"/>
    </xf>
    <xf numFmtId="173" fontId="5"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Adoption dip and payback: cumulative net position ($)</a:t>
            </a:r>
          </a:p>
        </c:rich>
      </c:tx>
      <c:overlay val="0"/>
      <c:spPr>
        <a:noFill/>
        <a:ln w="0">
          <a:noFill/>
        </a:ln>
      </c:spPr>
    </c:title>
    <c:autoTitleDeleted val="0"/>
    <c:plotArea>
      <c:lineChart>
        <c:grouping val="standard"/>
        <c:varyColors val="0"/>
        <c:ser>
          <c:idx val="0"/>
          <c:order val="0"/>
          <c:tx>
            <c:strRef>
              <c:f>"Low"</c:f>
              <c:strCache>
                <c:ptCount val="1"/>
                <c:pt idx="0">
                  <c:v>Low</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Model_Base!$C$8:$AL$8</c:f>
              <c:multiLvlStrCache>
                <c:ptCount val="1"/>
                <c:lvl>
                  <c:pt idx="0">
                    <c:v>M36</c:v>
                  </c:pt>
                </c:lvl>
                <c:lvl>
                  <c:pt idx="0">
                    <c:v>M35</c:v>
                  </c:pt>
                </c:lvl>
                <c:lvl>
                  <c:pt idx="0">
                    <c:v>M34</c:v>
                  </c:pt>
                </c:lvl>
                <c:lvl>
                  <c:pt idx="0">
                    <c:v>M33</c:v>
                  </c:pt>
                </c:lvl>
                <c:lvl>
                  <c:pt idx="0">
                    <c:v>M32</c:v>
                  </c:pt>
                </c:lvl>
                <c:lvl>
                  <c:pt idx="0">
                    <c:v>M31</c:v>
                  </c:pt>
                </c:lvl>
                <c:lvl>
                  <c:pt idx="0">
                    <c:v>M30</c:v>
                  </c:pt>
                </c:lvl>
                <c:lvl>
                  <c:pt idx="0">
                    <c:v>M29</c:v>
                  </c:pt>
                </c:lvl>
                <c:lvl>
                  <c:pt idx="0">
                    <c:v>M28</c:v>
                  </c:pt>
                </c:lvl>
                <c:lvl>
                  <c:pt idx="0">
                    <c:v>M27</c:v>
                  </c:pt>
                </c:lvl>
                <c:lvl>
                  <c:pt idx="0">
                    <c:v>M26</c:v>
                  </c:pt>
                </c:lvl>
                <c:lvl>
                  <c:pt idx="0">
                    <c:v>M25</c:v>
                  </c:pt>
                </c:lvl>
                <c:lvl>
                  <c:pt idx="0">
                    <c:v>M24</c:v>
                  </c:pt>
                </c:lvl>
                <c:lvl>
                  <c:pt idx="0">
                    <c:v>M23</c:v>
                  </c:pt>
                </c:lvl>
                <c:lvl>
                  <c:pt idx="0">
                    <c:v>M22</c:v>
                  </c:pt>
                </c:lvl>
                <c:lvl>
                  <c:pt idx="0">
                    <c:v>M21</c:v>
                  </c:pt>
                </c:lvl>
                <c:lvl>
                  <c:pt idx="0">
                    <c:v>M20</c:v>
                  </c:pt>
                </c:lvl>
                <c:lvl>
                  <c:pt idx="0">
                    <c:v>M19</c:v>
                  </c:pt>
                </c:lvl>
                <c:lvl>
                  <c:pt idx="0">
                    <c:v>M18</c:v>
                  </c:pt>
                </c:lvl>
                <c:lvl>
                  <c:pt idx="0">
                    <c:v>M17</c:v>
                  </c:pt>
                </c:lvl>
                <c:lvl>
                  <c:pt idx="0">
                    <c:v>M16</c:v>
                  </c:pt>
                </c:lvl>
                <c:lvl>
                  <c:pt idx="0">
                    <c:v>M15</c:v>
                  </c:pt>
                </c:lvl>
                <c:lvl>
                  <c:pt idx="0">
                    <c:v>M14</c:v>
                  </c:pt>
                </c:lvl>
                <c:lvl>
                  <c:pt idx="0">
                    <c:v>M13</c:v>
                  </c:pt>
                </c:lvl>
                <c:lvl>
                  <c:pt idx="0">
                    <c:v>M12</c:v>
                  </c:pt>
                </c:lvl>
                <c:lvl>
                  <c:pt idx="0">
                    <c:v>M11</c:v>
                  </c:pt>
                </c:lvl>
                <c:lvl>
                  <c:pt idx="0">
                    <c:v>M10</c:v>
                  </c:pt>
                </c:lvl>
                <c:lvl>
                  <c:pt idx="0">
                    <c:v>M9</c:v>
                  </c:pt>
                </c:lvl>
                <c:lvl>
                  <c:pt idx="0">
                    <c:v>M8</c:v>
                  </c:pt>
                </c:lvl>
                <c:lvl>
                  <c:pt idx="0">
                    <c:v>M7</c:v>
                  </c:pt>
                </c:lvl>
                <c:lvl>
                  <c:pt idx="0">
                    <c:v>M6</c:v>
                  </c:pt>
                </c:lvl>
                <c:lvl>
                  <c:pt idx="0">
                    <c:v>M5</c:v>
                  </c:pt>
                </c:lvl>
                <c:lvl>
                  <c:pt idx="0">
                    <c:v>M4</c:v>
                  </c:pt>
                </c:lvl>
                <c:lvl>
                  <c:pt idx="0">
                    <c:v>M3</c:v>
                  </c:pt>
                </c:lvl>
                <c:lvl>
                  <c:pt idx="0">
                    <c:v>M2</c:v>
                  </c:pt>
                </c:lvl>
                <c:lvl>
                  <c:pt idx="0">
                    <c:v>M1</c:v>
                  </c:pt>
                </c:lvl>
              </c:multiLvlStrCache>
            </c:multiLvlStrRef>
          </c:cat>
          <c:val>
            <c:numRef>
              <c:f>Model_Low!$C$37:$AL$37</c:f>
              <c:numCache>
                <c:formatCode>\$#,##0;"($"#,##0\);\-</c:formatCode>
                <c:ptCount val="36"/>
                <c:pt idx="0">
                  <c:v>-738352</c:v>
                </c:pt>
                <c:pt idx="1">
                  <c:v>-726329.910648446</c:v>
                </c:pt>
                <c:pt idx="2">
                  <c:v>-713923.023352152</c:v>
                </c:pt>
                <c:pt idx="3">
                  <c:v>-701120.339445735</c:v>
                </c:pt>
                <c:pt idx="4">
                  <c:v>-687910.562567258</c:v>
                </c:pt>
                <c:pt idx="5">
                  <c:v>-674282.090836965</c:v>
                </c:pt>
                <c:pt idx="6">
                  <c:v>-660223.00883406</c:v>
                </c:pt>
                <c:pt idx="7">
                  <c:v>-645721.079366379</c:v>
                </c:pt>
                <c:pt idx="8">
                  <c:v>-630763.73502767</c:v>
                </c:pt>
                <c:pt idx="9">
                  <c:v>-615338.069537045</c:v>
                </c:pt>
                <c:pt idx="10">
                  <c:v>-599430.828855042</c:v>
                </c:pt>
                <c:pt idx="11">
                  <c:v>-583028.402070608</c:v>
                </c:pt>
                <c:pt idx="12">
                  <c:v>-566116.812053127</c:v>
                </c:pt>
                <c:pt idx="13">
                  <c:v>-548681.705863532</c:v>
                </c:pt>
                <c:pt idx="14">
                  <c:v>-530708.344918311</c:v>
                </c:pt>
                <c:pt idx="15">
                  <c:v>-512181.594900141</c:v>
                </c:pt>
                <c:pt idx="16">
                  <c:v>-493085.915408654</c:v>
                </c:pt>
                <c:pt idx="17">
                  <c:v>-473405.349344721</c:v>
                </c:pt>
                <c:pt idx="18">
                  <c:v>-453123.512021464</c:v>
                </c:pt>
                <c:pt idx="19">
                  <c:v>-432223.579995001</c:v>
                </c:pt>
                <c:pt idx="20">
                  <c:v>-410688.279607806</c:v>
                </c:pt>
                <c:pt idx="21">
                  <c:v>-388499.875237338</c:v>
                </c:pt>
                <c:pt idx="22">
                  <c:v>-365640.157242434</c:v>
                </c:pt>
                <c:pt idx="23">
                  <c:v>-342090.429599759</c:v>
                </c:pt>
                <c:pt idx="24">
                  <c:v>-317831.497222417</c:v>
                </c:pt>
                <c:pt idx="25">
                  <c:v>-292843.652952619</c:v>
                </c:pt>
                <c:pt idx="26">
                  <c:v>-267106.664220112</c:v>
                </c:pt>
                <c:pt idx="27">
                  <c:v>-240599.759357842</c:v>
                </c:pt>
                <c:pt idx="28">
                  <c:v>-213301.613566136</c:v>
                </c:pt>
                <c:pt idx="29">
                  <c:v>-185190.334516435</c:v>
                </c:pt>
                <c:pt idx="30">
                  <c:v>-156243.447585411</c:v>
                </c:pt>
                <c:pt idx="31">
                  <c:v>-126437.880710056</c:v>
                </c:pt>
                <c:pt idx="32">
                  <c:v>-95749.9488540845</c:v>
                </c:pt>
                <c:pt idx="33">
                  <c:v>-64155.3380757695</c:v>
                </c:pt>
                <c:pt idx="34">
                  <c:v>-31629.0891870544</c:v>
                </c:pt>
                <c:pt idx="35">
                  <c:v>1854.4190064501</c:v>
                </c:pt>
              </c:numCache>
            </c:numRef>
          </c:val>
          <c:smooth val="0"/>
        </c:ser>
        <c:ser>
          <c:idx val="1"/>
          <c:order val="1"/>
          <c:tx>
            <c:strRef>
              <c:f>"Base"</c:f>
              <c:strCache>
                <c:ptCount val="1"/>
                <c:pt idx="0">
                  <c:v>Base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Model_Base!$C$8:$AL$8</c:f>
              <c:multiLvlStrCache>
                <c:ptCount val="1"/>
                <c:lvl>
                  <c:pt idx="0">
                    <c:v>M36</c:v>
                  </c:pt>
                </c:lvl>
                <c:lvl>
                  <c:pt idx="0">
                    <c:v>M35</c:v>
                  </c:pt>
                </c:lvl>
                <c:lvl>
                  <c:pt idx="0">
                    <c:v>M34</c:v>
                  </c:pt>
                </c:lvl>
                <c:lvl>
                  <c:pt idx="0">
                    <c:v>M33</c:v>
                  </c:pt>
                </c:lvl>
                <c:lvl>
                  <c:pt idx="0">
                    <c:v>M32</c:v>
                  </c:pt>
                </c:lvl>
                <c:lvl>
                  <c:pt idx="0">
                    <c:v>M31</c:v>
                  </c:pt>
                </c:lvl>
                <c:lvl>
                  <c:pt idx="0">
                    <c:v>M30</c:v>
                  </c:pt>
                </c:lvl>
                <c:lvl>
                  <c:pt idx="0">
                    <c:v>M29</c:v>
                  </c:pt>
                </c:lvl>
                <c:lvl>
                  <c:pt idx="0">
                    <c:v>M28</c:v>
                  </c:pt>
                </c:lvl>
                <c:lvl>
                  <c:pt idx="0">
                    <c:v>M27</c:v>
                  </c:pt>
                </c:lvl>
                <c:lvl>
                  <c:pt idx="0">
                    <c:v>M26</c:v>
                  </c:pt>
                </c:lvl>
                <c:lvl>
                  <c:pt idx="0">
                    <c:v>M25</c:v>
                  </c:pt>
                </c:lvl>
                <c:lvl>
                  <c:pt idx="0">
                    <c:v>M24</c:v>
                  </c:pt>
                </c:lvl>
                <c:lvl>
                  <c:pt idx="0">
                    <c:v>M23</c:v>
                  </c:pt>
                </c:lvl>
                <c:lvl>
                  <c:pt idx="0">
                    <c:v>M22</c:v>
                  </c:pt>
                </c:lvl>
                <c:lvl>
                  <c:pt idx="0">
                    <c:v>M21</c:v>
                  </c:pt>
                </c:lvl>
                <c:lvl>
                  <c:pt idx="0">
                    <c:v>M20</c:v>
                  </c:pt>
                </c:lvl>
                <c:lvl>
                  <c:pt idx="0">
                    <c:v>M19</c:v>
                  </c:pt>
                </c:lvl>
                <c:lvl>
                  <c:pt idx="0">
                    <c:v>M18</c:v>
                  </c:pt>
                </c:lvl>
                <c:lvl>
                  <c:pt idx="0">
                    <c:v>M17</c:v>
                  </c:pt>
                </c:lvl>
                <c:lvl>
                  <c:pt idx="0">
                    <c:v>M16</c:v>
                  </c:pt>
                </c:lvl>
                <c:lvl>
                  <c:pt idx="0">
                    <c:v>M15</c:v>
                  </c:pt>
                </c:lvl>
                <c:lvl>
                  <c:pt idx="0">
                    <c:v>M14</c:v>
                  </c:pt>
                </c:lvl>
                <c:lvl>
                  <c:pt idx="0">
                    <c:v>M13</c:v>
                  </c:pt>
                </c:lvl>
                <c:lvl>
                  <c:pt idx="0">
                    <c:v>M12</c:v>
                  </c:pt>
                </c:lvl>
                <c:lvl>
                  <c:pt idx="0">
                    <c:v>M11</c:v>
                  </c:pt>
                </c:lvl>
                <c:lvl>
                  <c:pt idx="0">
                    <c:v>M10</c:v>
                  </c:pt>
                </c:lvl>
                <c:lvl>
                  <c:pt idx="0">
                    <c:v>M9</c:v>
                  </c:pt>
                </c:lvl>
                <c:lvl>
                  <c:pt idx="0">
                    <c:v>M8</c:v>
                  </c:pt>
                </c:lvl>
                <c:lvl>
                  <c:pt idx="0">
                    <c:v>M7</c:v>
                  </c:pt>
                </c:lvl>
                <c:lvl>
                  <c:pt idx="0">
                    <c:v>M6</c:v>
                  </c:pt>
                </c:lvl>
                <c:lvl>
                  <c:pt idx="0">
                    <c:v>M5</c:v>
                  </c:pt>
                </c:lvl>
                <c:lvl>
                  <c:pt idx="0">
                    <c:v>M4</c:v>
                  </c:pt>
                </c:lvl>
                <c:lvl>
                  <c:pt idx="0">
                    <c:v>M3</c:v>
                  </c:pt>
                </c:lvl>
                <c:lvl>
                  <c:pt idx="0">
                    <c:v>M2</c:v>
                  </c:pt>
                </c:lvl>
                <c:lvl>
                  <c:pt idx="0">
                    <c:v>M1</c:v>
                  </c:pt>
                </c:lvl>
              </c:multiLvlStrCache>
            </c:multiLvlStrRef>
          </c:cat>
          <c:val>
            <c:numRef>
              <c:f>Model_Base!$C$37:$AL$37</c:f>
              <c:numCache>
                <c:formatCode>\$#,##0;"($"#,##0\);\-</c:formatCode>
                <c:ptCount val="36"/>
                <c:pt idx="0">
                  <c:v>-737872</c:v>
                </c:pt>
                <c:pt idx="1">
                  <c:v>-724885.507454182</c:v>
                </c:pt>
                <c:pt idx="2">
                  <c:v>-710990.287182288</c:v>
                </c:pt>
                <c:pt idx="3">
                  <c:v>-696133.36414416</c:v>
                </c:pt>
                <c:pt idx="4">
                  <c:v>-680258.878655199</c:v>
                </c:pt>
                <c:pt idx="5">
                  <c:v>-663307.934070111</c:v>
                </c:pt>
                <c:pt idx="6">
                  <c:v>-645218.43654641</c:v>
                </c:pt>
                <c:pt idx="7">
                  <c:v>-625924.926479244</c:v>
                </c:pt>
                <c:pt idx="8">
                  <c:v>-605358.401178111</c:v>
                </c:pt>
                <c:pt idx="9">
                  <c:v>-583446.128334021</c:v>
                </c:pt>
                <c:pt idx="10">
                  <c:v>-560111.449802484</c:v>
                </c:pt>
                <c:pt idx="11">
                  <c:v>-535273.575203369</c:v>
                </c:pt>
                <c:pt idx="12">
                  <c:v>-508847.364813054</c:v>
                </c:pt>
                <c:pt idx="13">
                  <c:v>-480743.101197432</c:v>
                </c:pt>
                <c:pt idx="14">
                  <c:v>-450866.24900602</c:v>
                </c:pt>
                <c:pt idx="15">
                  <c:v>-419117.202317704</c:v>
                </c:pt>
                <c:pt idx="16">
                  <c:v>-385391.018897423</c:v>
                </c:pt>
                <c:pt idx="17">
                  <c:v>-349577.140690232</c:v>
                </c:pt>
                <c:pt idx="18">
                  <c:v>-311559.099844675</c:v>
                </c:pt>
                <c:pt idx="19">
                  <c:v>-271214.20952112</c:v>
                </c:pt>
                <c:pt idx="20">
                  <c:v>-228413.238702544</c:v>
                </c:pt>
                <c:pt idx="21">
                  <c:v>-183020.070185195</c:v>
                </c:pt>
                <c:pt idx="22">
                  <c:v>-134891.340884402</c:v>
                </c:pt>
                <c:pt idx="23">
                  <c:v>-83876.0635465189</c:v>
                </c:pt>
                <c:pt idx="24">
                  <c:v>-29815.2289114289</c:v>
                </c:pt>
                <c:pt idx="25">
                  <c:v>27458.6126788842</c:v>
                </c:pt>
                <c:pt idx="26">
                  <c:v>88121.7912816405</c:v>
                </c:pt>
                <c:pt idx="27">
                  <c:v>152359.980074435</c:v>
                </c:pt>
                <c:pt idx="28">
                  <c:v>220368.68196309</c:v>
                </c:pt>
                <c:pt idx="29">
                  <c:v>292353.741302728</c:v>
                </c:pt>
                <c:pt idx="30">
                  <c:v>368531.882021372</c:v>
                </c:pt>
                <c:pt idx="31">
                  <c:v>449131.273501376</c:v>
                </c:pt>
                <c:pt idx="32">
                  <c:v>534392.125643297</c:v>
                </c:pt>
                <c:pt idx="33">
                  <c:v>624567.31460976</c:v>
                </c:pt>
                <c:pt idx="34">
                  <c:v>719923.040823429</c:v>
                </c:pt>
                <c:pt idx="35">
                  <c:v>820739.520873749</c:v>
                </c:pt>
              </c:numCache>
            </c:numRef>
          </c:val>
          <c:smooth val="0"/>
        </c:ser>
        <c:ser>
          <c:idx val="2"/>
          <c:order val="2"/>
          <c:tx>
            <c:strRef>
              <c:f>"High"</c:f>
              <c:strCache>
                <c:ptCount val="1"/>
                <c:pt idx="0">
                  <c:v>High</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Model_Base!$C$8:$AL$8</c:f>
              <c:multiLvlStrCache>
                <c:ptCount val="1"/>
                <c:lvl>
                  <c:pt idx="0">
                    <c:v>M36</c:v>
                  </c:pt>
                </c:lvl>
                <c:lvl>
                  <c:pt idx="0">
                    <c:v>M35</c:v>
                  </c:pt>
                </c:lvl>
                <c:lvl>
                  <c:pt idx="0">
                    <c:v>M34</c:v>
                  </c:pt>
                </c:lvl>
                <c:lvl>
                  <c:pt idx="0">
                    <c:v>M33</c:v>
                  </c:pt>
                </c:lvl>
                <c:lvl>
                  <c:pt idx="0">
                    <c:v>M32</c:v>
                  </c:pt>
                </c:lvl>
                <c:lvl>
                  <c:pt idx="0">
                    <c:v>M31</c:v>
                  </c:pt>
                </c:lvl>
                <c:lvl>
                  <c:pt idx="0">
                    <c:v>M30</c:v>
                  </c:pt>
                </c:lvl>
                <c:lvl>
                  <c:pt idx="0">
                    <c:v>M29</c:v>
                  </c:pt>
                </c:lvl>
                <c:lvl>
                  <c:pt idx="0">
                    <c:v>M28</c:v>
                  </c:pt>
                </c:lvl>
                <c:lvl>
                  <c:pt idx="0">
                    <c:v>M27</c:v>
                  </c:pt>
                </c:lvl>
                <c:lvl>
                  <c:pt idx="0">
                    <c:v>M26</c:v>
                  </c:pt>
                </c:lvl>
                <c:lvl>
                  <c:pt idx="0">
                    <c:v>M25</c:v>
                  </c:pt>
                </c:lvl>
                <c:lvl>
                  <c:pt idx="0">
                    <c:v>M24</c:v>
                  </c:pt>
                </c:lvl>
                <c:lvl>
                  <c:pt idx="0">
                    <c:v>M23</c:v>
                  </c:pt>
                </c:lvl>
                <c:lvl>
                  <c:pt idx="0">
                    <c:v>M22</c:v>
                  </c:pt>
                </c:lvl>
                <c:lvl>
                  <c:pt idx="0">
                    <c:v>M21</c:v>
                  </c:pt>
                </c:lvl>
                <c:lvl>
                  <c:pt idx="0">
                    <c:v>M20</c:v>
                  </c:pt>
                </c:lvl>
                <c:lvl>
                  <c:pt idx="0">
                    <c:v>M19</c:v>
                  </c:pt>
                </c:lvl>
                <c:lvl>
                  <c:pt idx="0">
                    <c:v>M18</c:v>
                  </c:pt>
                </c:lvl>
                <c:lvl>
                  <c:pt idx="0">
                    <c:v>M17</c:v>
                  </c:pt>
                </c:lvl>
                <c:lvl>
                  <c:pt idx="0">
                    <c:v>M16</c:v>
                  </c:pt>
                </c:lvl>
                <c:lvl>
                  <c:pt idx="0">
                    <c:v>M15</c:v>
                  </c:pt>
                </c:lvl>
                <c:lvl>
                  <c:pt idx="0">
                    <c:v>M14</c:v>
                  </c:pt>
                </c:lvl>
                <c:lvl>
                  <c:pt idx="0">
                    <c:v>M13</c:v>
                  </c:pt>
                </c:lvl>
                <c:lvl>
                  <c:pt idx="0">
                    <c:v>M12</c:v>
                  </c:pt>
                </c:lvl>
                <c:lvl>
                  <c:pt idx="0">
                    <c:v>M11</c:v>
                  </c:pt>
                </c:lvl>
                <c:lvl>
                  <c:pt idx="0">
                    <c:v>M10</c:v>
                  </c:pt>
                </c:lvl>
                <c:lvl>
                  <c:pt idx="0">
                    <c:v>M9</c:v>
                  </c:pt>
                </c:lvl>
                <c:lvl>
                  <c:pt idx="0">
                    <c:v>M8</c:v>
                  </c:pt>
                </c:lvl>
                <c:lvl>
                  <c:pt idx="0">
                    <c:v>M7</c:v>
                  </c:pt>
                </c:lvl>
                <c:lvl>
                  <c:pt idx="0">
                    <c:v>M6</c:v>
                  </c:pt>
                </c:lvl>
                <c:lvl>
                  <c:pt idx="0">
                    <c:v>M5</c:v>
                  </c:pt>
                </c:lvl>
                <c:lvl>
                  <c:pt idx="0">
                    <c:v>M4</c:v>
                  </c:pt>
                </c:lvl>
                <c:lvl>
                  <c:pt idx="0">
                    <c:v>M3</c:v>
                  </c:pt>
                </c:lvl>
                <c:lvl>
                  <c:pt idx="0">
                    <c:v>M2</c:v>
                  </c:pt>
                </c:lvl>
                <c:lvl>
                  <c:pt idx="0">
                    <c:v>M1</c:v>
                  </c:pt>
                </c:lvl>
              </c:multiLvlStrCache>
            </c:multiLvlStrRef>
          </c:cat>
          <c:val>
            <c:numRef>
              <c:f>Model_High!$C$37:$AL$37</c:f>
              <c:numCache>
                <c:formatCode>\$#,##0;"($"#,##0\);\-</c:formatCode>
                <c:ptCount val="36"/>
                <c:pt idx="0">
                  <c:v>-736912</c:v>
                </c:pt>
                <c:pt idx="1">
                  <c:v>-722418.543333059</c:v>
                </c:pt>
                <c:pt idx="2">
                  <c:v>-706397.756708526</c:v>
                </c:pt>
                <c:pt idx="3">
                  <c:v>-688717.884996626</c:v>
                </c:pt>
                <c:pt idx="4">
                  <c:v>-669236.510967457</c:v>
                </c:pt>
                <c:pt idx="5">
                  <c:v>-647799.714163742</c:v>
                </c:pt>
                <c:pt idx="6">
                  <c:v>-624241.164189606</c:v>
                </c:pt>
                <c:pt idx="7">
                  <c:v>-598381.143333398</c:v>
                </c:pt>
                <c:pt idx="8">
                  <c:v>-570025.493050302</c:v>
                </c:pt>
                <c:pt idx="9">
                  <c:v>-538964.478407997</c:v>
                </c:pt>
                <c:pt idx="10">
                  <c:v>-504971.564143614</c:v>
                </c:pt>
                <c:pt idx="11">
                  <c:v>-467802.095490245</c:v>
                </c:pt>
                <c:pt idx="12">
                  <c:v>-427191.876403483</c:v>
                </c:pt>
                <c:pt idx="13">
                  <c:v>-382855.637250207</c:v>
                </c:pt>
                <c:pt idx="14">
                  <c:v>-334485.38340972</c:v>
                </c:pt>
                <c:pt idx="15">
                  <c:v>-281748.615578243</c:v>
                </c:pt>
                <c:pt idx="16">
                  <c:v>-224286.411857973</c:v>
                </c:pt>
                <c:pt idx="17">
                  <c:v>-161711.360947449</c:v>
                </c:pt>
                <c:pt idx="18">
                  <c:v>-93605.3349268767</c:v>
                </c:pt>
                <c:pt idx="19">
                  <c:v>-19517.0892455372</c:v>
                </c:pt>
                <c:pt idx="20">
                  <c:v>61040.3234361511</c:v>
                </c:pt>
                <c:pt idx="21">
                  <c:v>148592.339925319</c:v>
                </c:pt>
                <c:pt idx="22">
                  <c:v>243705.889178439</c:v>
                </c:pt>
                <c:pt idx="23">
                  <c:v>346992.62766061</c:v>
                </c:pt>
                <c:pt idx="24">
                  <c:v>459112.425340273</c:v>
                </c:pt>
                <c:pt idx="25">
                  <c:v>580777.121659547</c:v>
                </c:pt>
                <c:pt idx="26">
                  <c:v>712754.572308688</c:v>
                </c:pt>
                <c:pt idx="27">
                  <c:v>855873.009235865</c:v>
                </c:pt>
                <c:pt idx="28">
                  <c:v>1011025.73804919</c:v>
                </c:pt>
                <c:pt idx="29">
                  <c:v>1179176.19882618</c:v>
                </c:pt>
                <c:pt idx="30">
                  <c:v>1361363.41834668</c:v>
                </c:pt>
                <c:pt idx="31">
                  <c:v>1558707.88391996</c:v>
                </c:pt>
                <c:pt idx="32">
                  <c:v>1772417.87129632</c:v>
                </c:pt>
                <c:pt idx="33">
                  <c:v>2003796.26165168</c:v>
                </c:pt>
                <c:pt idx="34">
                  <c:v>2254247.88532314</c:v>
                </c:pt>
                <c:pt idx="35">
                  <c:v>2525287.43286957</c:v>
                </c:pt>
              </c:numCache>
            </c:numRef>
          </c:val>
          <c:smooth val="0"/>
        </c:ser>
        <c:hiLowLines>
          <c:spPr>
            <a:ln w="0">
              <a:noFill/>
            </a:ln>
          </c:spPr>
        </c:hiLowLines>
        <c:marker val="0"/>
        <c:axId val="33563657"/>
        <c:axId val="24247578"/>
      </c:lineChart>
      <c:catAx>
        <c:axId val="3356365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4247578"/>
        <c:crosses val="autoZero"/>
        <c:auto val="1"/>
        <c:lblAlgn val="ctr"/>
        <c:lblOffset val="100"/>
        <c:noMultiLvlLbl val="0"/>
      </c:catAx>
      <c:valAx>
        <c:axId val="242475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Cumulative net position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636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margin % by month</a:t>
            </a:r>
          </a:p>
        </c:rich>
      </c:tx>
      <c:overlay val="0"/>
      <c:spPr>
        <a:noFill/>
        <a:ln w="0">
          <a:noFill/>
        </a:ln>
      </c:spPr>
    </c:title>
    <c:autoTitleDeleted val="0"/>
    <c:plotArea>
      <c:lineChart>
        <c:grouping val="standard"/>
        <c:varyColors val="0"/>
        <c:ser>
          <c:idx val="0"/>
          <c:order val="0"/>
          <c:tx>
            <c:strRef>
              <c:f>"Low"</c:f>
              <c:strCache>
                <c:ptCount val="1"/>
                <c:pt idx="0">
                  <c:v>Low</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Model_Base!$C$8:$AL$8</c:f>
              <c:multiLvlStrCache>
                <c:ptCount val="1"/>
                <c:lvl>
                  <c:pt idx="0">
                    <c:v>M36</c:v>
                  </c:pt>
                </c:lvl>
                <c:lvl>
                  <c:pt idx="0">
                    <c:v>M35</c:v>
                  </c:pt>
                </c:lvl>
                <c:lvl>
                  <c:pt idx="0">
                    <c:v>M34</c:v>
                  </c:pt>
                </c:lvl>
                <c:lvl>
                  <c:pt idx="0">
                    <c:v>M33</c:v>
                  </c:pt>
                </c:lvl>
                <c:lvl>
                  <c:pt idx="0">
                    <c:v>M32</c:v>
                  </c:pt>
                </c:lvl>
                <c:lvl>
                  <c:pt idx="0">
                    <c:v>M31</c:v>
                  </c:pt>
                </c:lvl>
                <c:lvl>
                  <c:pt idx="0">
                    <c:v>M30</c:v>
                  </c:pt>
                </c:lvl>
                <c:lvl>
                  <c:pt idx="0">
                    <c:v>M29</c:v>
                  </c:pt>
                </c:lvl>
                <c:lvl>
                  <c:pt idx="0">
                    <c:v>M28</c:v>
                  </c:pt>
                </c:lvl>
                <c:lvl>
                  <c:pt idx="0">
                    <c:v>M27</c:v>
                  </c:pt>
                </c:lvl>
                <c:lvl>
                  <c:pt idx="0">
                    <c:v>M26</c:v>
                  </c:pt>
                </c:lvl>
                <c:lvl>
                  <c:pt idx="0">
                    <c:v>M25</c:v>
                  </c:pt>
                </c:lvl>
                <c:lvl>
                  <c:pt idx="0">
                    <c:v>M24</c:v>
                  </c:pt>
                </c:lvl>
                <c:lvl>
                  <c:pt idx="0">
                    <c:v>M23</c:v>
                  </c:pt>
                </c:lvl>
                <c:lvl>
                  <c:pt idx="0">
                    <c:v>M22</c:v>
                  </c:pt>
                </c:lvl>
                <c:lvl>
                  <c:pt idx="0">
                    <c:v>M21</c:v>
                  </c:pt>
                </c:lvl>
                <c:lvl>
                  <c:pt idx="0">
                    <c:v>M20</c:v>
                  </c:pt>
                </c:lvl>
                <c:lvl>
                  <c:pt idx="0">
                    <c:v>M19</c:v>
                  </c:pt>
                </c:lvl>
                <c:lvl>
                  <c:pt idx="0">
                    <c:v>M18</c:v>
                  </c:pt>
                </c:lvl>
                <c:lvl>
                  <c:pt idx="0">
                    <c:v>M17</c:v>
                  </c:pt>
                </c:lvl>
                <c:lvl>
                  <c:pt idx="0">
                    <c:v>M16</c:v>
                  </c:pt>
                </c:lvl>
                <c:lvl>
                  <c:pt idx="0">
                    <c:v>M15</c:v>
                  </c:pt>
                </c:lvl>
                <c:lvl>
                  <c:pt idx="0">
                    <c:v>M14</c:v>
                  </c:pt>
                </c:lvl>
                <c:lvl>
                  <c:pt idx="0">
                    <c:v>M13</c:v>
                  </c:pt>
                </c:lvl>
                <c:lvl>
                  <c:pt idx="0">
                    <c:v>M12</c:v>
                  </c:pt>
                </c:lvl>
                <c:lvl>
                  <c:pt idx="0">
                    <c:v>M11</c:v>
                  </c:pt>
                </c:lvl>
                <c:lvl>
                  <c:pt idx="0">
                    <c:v>M10</c:v>
                  </c:pt>
                </c:lvl>
                <c:lvl>
                  <c:pt idx="0">
                    <c:v>M9</c:v>
                  </c:pt>
                </c:lvl>
                <c:lvl>
                  <c:pt idx="0">
                    <c:v>M8</c:v>
                  </c:pt>
                </c:lvl>
                <c:lvl>
                  <c:pt idx="0">
                    <c:v>M7</c:v>
                  </c:pt>
                </c:lvl>
                <c:lvl>
                  <c:pt idx="0">
                    <c:v>M6</c:v>
                  </c:pt>
                </c:lvl>
                <c:lvl>
                  <c:pt idx="0">
                    <c:v>M5</c:v>
                  </c:pt>
                </c:lvl>
                <c:lvl>
                  <c:pt idx="0">
                    <c:v>M4</c:v>
                  </c:pt>
                </c:lvl>
                <c:lvl>
                  <c:pt idx="0">
                    <c:v>M3</c:v>
                  </c:pt>
                </c:lvl>
                <c:lvl>
                  <c:pt idx="0">
                    <c:v>M2</c:v>
                  </c:pt>
                </c:lvl>
                <c:lvl>
                  <c:pt idx="0">
                    <c:v>M1</c:v>
                  </c:pt>
                </c:lvl>
              </c:multiLvlStrCache>
            </c:multiLvlStrRef>
          </c:cat>
          <c:val>
            <c:numRef>
              <c:f>Model_Low!$C$35:$AL$35</c:f>
              <c:numCache>
                <c:formatCode>0.0%;\(0.0%\);\-</c:formatCode>
                <c:ptCount val="36"/>
                <c:pt idx="0">
                  <c:v>0.395652173913043</c:v>
                </c:pt>
                <c:pt idx="1">
                  <c:v>0.398360172958792</c:v>
                </c:pt>
                <c:pt idx="2">
                  <c:v>0.401044499730417</c:v>
                </c:pt>
                <c:pt idx="3">
                  <c:v>0.403705361161729</c:v>
                </c:pt>
                <c:pt idx="4">
                  <c:v>0.406342962377604</c:v>
                </c:pt>
                <c:pt idx="5">
                  <c:v>0.408957506709796</c:v>
                </c:pt>
                <c:pt idx="6">
                  <c:v>0.411549195712613</c:v>
                </c:pt>
                <c:pt idx="7">
                  <c:v>0.414118229178451</c:v>
                </c:pt>
                <c:pt idx="8">
                  <c:v>0.416664805153201</c:v>
                </c:pt>
                <c:pt idx="9">
                  <c:v>0.419189119951514</c:v>
                </c:pt>
                <c:pt idx="10">
                  <c:v>0.421691368171932</c:v>
                </c:pt>
                <c:pt idx="11">
                  <c:v>0.424171742711896</c:v>
                </c:pt>
                <c:pt idx="12">
                  <c:v>0.426630434782609</c:v>
                </c:pt>
                <c:pt idx="13">
                  <c:v>0.429067633923782</c:v>
                </c:pt>
                <c:pt idx="14">
                  <c:v>0.431483528018245</c:v>
                </c:pt>
                <c:pt idx="15">
                  <c:v>0.433878303306425</c:v>
                </c:pt>
                <c:pt idx="16">
                  <c:v>0.436252144400713</c:v>
                </c:pt>
                <c:pt idx="17">
                  <c:v>0.438605234299686</c:v>
                </c:pt>
                <c:pt idx="18">
                  <c:v>0.440937754402221</c:v>
                </c:pt>
                <c:pt idx="19">
                  <c:v>0.443249884521475</c:v>
                </c:pt>
                <c:pt idx="20">
                  <c:v>0.445541802898751</c:v>
                </c:pt>
                <c:pt idx="21">
                  <c:v>0.447813686217232</c:v>
                </c:pt>
                <c:pt idx="22">
                  <c:v>0.450065709615608</c:v>
                </c:pt>
                <c:pt idx="23">
                  <c:v>0.452298046701576</c:v>
                </c:pt>
                <c:pt idx="24">
                  <c:v>0.454510869565217</c:v>
                </c:pt>
                <c:pt idx="25">
                  <c:v>0.456704348792274</c:v>
                </c:pt>
                <c:pt idx="26">
                  <c:v>0.45887865347729</c:v>
                </c:pt>
                <c:pt idx="27">
                  <c:v>0.461033951236653</c:v>
                </c:pt>
                <c:pt idx="28">
                  <c:v>0.463170408221511</c:v>
                </c:pt>
                <c:pt idx="29">
                  <c:v>0.465288189130587</c:v>
                </c:pt>
                <c:pt idx="30">
                  <c:v>0.467387457222868</c:v>
                </c:pt>
                <c:pt idx="31">
                  <c:v>0.469468374330197</c:v>
                </c:pt>
                <c:pt idx="32">
                  <c:v>0.471531100869745</c:v>
                </c:pt>
                <c:pt idx="33">
                  <c:v>0.473575795856378</c:v>
                </c:pt>
                <c:pt idx="34">
                  <c:v>0.475602616914917</c:v>
                </c:pt>
                <c:pt idx="35">
                  <c:v>0.477611720292288</c:v>
                </c:pt>
              </c:numCache>
            </c:numRef>
          </c:val>
          <c:smooth val="0"/>
        </c:ser>
        <c:ser>
          <c:idx val="1"/>
          <c:order val="1"/>
          <c:tx>
            <c:strRef>
              <c:f>"Base"</c:f>
              <c:strCache>
                <c:ptCount val="1"/>
                <c:pt idx="0">
                  <c:v>Base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Model_Base!$C$8:$AL$8</c:f>
              <c:multiLvlStrCache>
                <c:ptCount val="1"/>
                <c:lvl>
                  <c:pt idx="0">
                    <c:v>M36</c:v>
                  </c:pt>
                </c:lvl>
                <c:lvl>
                  <c:pt idx="0">
                    <c:v>M35</c:v>
                  </c:pt>
                </c:lvl>
                <c:lvl>
                  <c:pt idx="0">
                    <c:v>M34</c:v>
                  </c:pt>
                </c:lvl>
                <c:lvl>
                  <c:pt idx="0">
                    <c:v>M33</c:v>
                  </c:pt>
                </c:lvl>
                <c:lvl>
                  <c:pt idx="0">
                    <c:v>M32</c:v>
                  </c:pt>
                </c:lvl>
                <c:lvl>
                  <c:pt idx="0">
                    <c:v>M31</c:v>
                  </c:pt>
                </c:lvl>
                <c:lvl>
                  <c:pt idx="0">
                    <c:v>M30</c:v>
                  </c:pt>
                </c:lvl>
                <c:lvl>
                  <c:pt idx="0">
                    <c:v>M29</c:v>
                  </c:pt>
                </c:lvl>
                <c:lvl>
                  <c:pt idx="0">
                    <c:v>M28</c:v>
                  </c:pt>
                </c:lvl>
                <c:lvl>
                  <c:pt idx="0">
                    <c:v>M27</c:v>
                  </c:pt>
                </c:lvl>
                <c:lvl>
                  <c:pt idx="0">
                    <c:v>M26</c:v>
                  </c:pt>
                </c:lvl>
                <c:lvl>
                  <c:pt idx="0">
                    <c:v>M25</c:v>
                  </c:pt>
                </c:lvl>
                <c:lvl>
                  <c:pt idx="0">
                    <c:v>M24</c:v>
                  </c:pt>
                </c:lvl>
                <c:lvl>
                  <c:pt idx="0">
                    <c:v>M23</c:v>
                  </c:pt>
                </c:lvl>
                <c:lvl>
                  <c:pt idx="0">
                    <c:v>M22</c:v>
                  </c:pt>
                </c:lvl>
                <c:lvl>
                  <c:pt idx="0">
                    <c:v>M21</c:v>
                  </c:pt>
                </c:lvl>
                <c:lvl>
                  <c:pt idx="0">
                    <c:v>M20</c:v>
                  </c:pt>
                </c:lvl>
                <c:lvl>
                  <c:pt idx="0">
                    <c:v>M19</c:v>
                  </c:pt>
                </c:lvl>
                <c:lvl>
                  <c:pt idx="0">
                    <c:v>M18</c:v>
                  </c:pt>
                </c:lvl>
                <c:lvl>
                  <c:pt idx="0">
                    <c:v>M17</c:v>
                  </c:pt>
                </c:lvl>
                <c:lvl>
                  <c:pt idx="0">
                    <c:v>M16</c:v>
                  </c:pt>
                </c:lvl>
                <c:lvl>
                  <c:pt idx="0">
                    <c:v>M15</c:v>
                  </c:pt>
                </c:lvl>
                <c:lvl>
                  <c:pt idx="0">
                    <c:v>M14</c:v>
                  </c:pt>
                </c:lvl>
                <c:lvl>
                  <c:pt idx="0">
                    <c:v>M13</c:v>
                  </c:pt>
                </c:lvl>
                <c:lvl>
                  <c:pt idx="0">
                    <c:v>M12</c:v>
                  </c:pt>
                </c:lvl>
                <c:lvl>
                  <c:pt idx="0">
                    <c:v>M11</c:v>
                  </c:pt>
                </c:lvl>
                <c:lvl>
                  <c:pt idx="0">
                    <c:v>M10</c:v>
                  </c:pt>
                </c:lvl>
                <c:lvl>
                  <c:pt idx="0">
                    <c:v>M9</c:v>
                  </c:pt>
                </c:lvl>
                <c:lvl>
                  <c:pt idx="0">
                    <c:v>M8</c:v>
                  </c:pt>
                </c:lvl>
                <c:lvl>
                  <c:pt idx="0">
                    <c:v>M7</c:v>
                  </c:pt>
                </c:lvl>
                <c:lvl>
                  <c:pt idx="0">
                    <c:v>M6</c:v>
                  </c:pt>
                </c:lvl>
                <c:lvl>
                  <c:pt idx="0">
                    <c:v>M5</c:v>
                  </c:pt>
                </c:lvl>
                <c:lvl>
                  <c:pt idx="0">
                    <c:v>M4</c:v>
                  </c:pt>
                </c:lvl>
                <c:lvl>
                  <c:pt idx="0">
                    <c:v>M3</c:v>
                  </c:pt>
                </c:lvl>
                <c:lvl>
                  <c:pt idx="0">
                    <c:v>M2</c:v>
                  </c:pt>
                </c:lvl>
                <c:lvl>
                  <c:pt idx="0">
                    <c:v>M1</c:v>
                  </c:pt>
                </c:lvl>
              </c:multiLvlStrCache>
            </c:multiLvlStrRef>
          </c:cat>
          <c:val>
            <c:numRef>
              <c:f>Model_Base!$C$35:$AL$35</c:f>
              <c:numCache>
                <c:formatCode>0.0%;\(0.0%\);\-</c:formatCode>
                <c:ptCount val="36"/>
                <c:pt idx="0">
                  <c:v>0.41195652173913</c:v>
                </c:pt>
                <c:pt idx="1">
                  <c:v>0.419951707896799</c:v>
                </c:pt>
                <c:pt idx="2">
                  <c:v>0.427777761878552</c:v>
                </c:pt>
                <c:pt idx="3">
                  <c:v>0.435438603738707</c:v>
                </c:pt>
                <c:pt idx="4">
                  <c:v>0.442938061040283</c:v>
                </c:pt>
                <c:pt idx="5">
                  <c:v>0.450279871044401</c:v>
                </c:pt>
                <c:pt idx="6">
                  <c:v>0.457467682847826</c:v>
                </c:pt>
                <c:pt idx="7">
                  <c:v>0.464505059469888</c:v>
                </c:pt>
                <c:pt idx="8">
                  <c:v>0.471395479889962</c:v>
                </c:pt>
                <c:pt idx="9">
                  <c:v>0.478142341036703</c:v>
                </c:pt>
                <c:pt idx="10">
                  <c:v>0.484748959730153</c:v>
                </c:pt>
                <c:pt idx="11">
                  <c:v>0.491218574577862</c:v>
                </c:pt>
                <c:pt idx="12">
                  <c:v>0.497554347826087</c:v>
                </c:pt>
                <c:pt idx="13">
                  <c:v>0.503759367167154</c:v>
                </c:pt>
                <c:pt idx="14">
                  <c:v>0.50983664750401</c:v>
                </c:pt>
                <c:pt idx="15">
                  <c:v>0.515789132672982</c:v>
                </c:pt>
                <c:pt idx="16">
                  <c:v>0.521619697125734</c:v>
                </c:pt>
                <c:pt idx="17">
                  <c:v>0.527331147571385</c:v>
                </c:pt>
                <c:pt idx="18">
                  <c:v>0.532926224579739</c:v>
                </c:pt>
                <c:pt idx="19">
                  <c:v>0.538407604146535</c:v>
                </c:pt>
                <c:pt idx="20">
                  <c:v>0.543777899221635</c:v>
                </c:pt>
                <c:pt idx="21">
                  <c:v>0.549039661201013</c:v>
                </c:pt>
                <c:pt idx="22">
                  <c:v>0.554195381383403</c:v>
                </c:pt>
                <c:pt idx="23">
                  <c:v>0.559247492392458</c:v>
                </c:pt>
                <c:pt idx="24">
                  <c:v>0.564198369565217</c:v>
                </c:pt>
                <c:pt idx="25">
                  <c:v>0.569050332307692</c:v>
                </c:pt>
                <c:pt idx="26">
                  <c:v>0.573805645418348</c:v>
                </c:pt>
                <c:pt idx="27">
                  <c:v>0.578466520380241</c:v>
                </c:pt>
                <c:pt idx="28">
                  <c:v>0.583035116622546</c:v>
                </c:pt>
                <c:pt idx="29">
                  <c:v>0.58751354275222</c:v>
                </c:pt>
                <c:pt idx="30">
                  <c:v>0.59190385775648</c:v>
                </c:pt>
                <c:pt idx="31">
                  <c:v>0.596208072176814</c:v>
                </c:pt>
                <c:pt idx="32">
                  <c:v>0.600428149255182</c:v>
                </c:pt>
                <c:pt idx="33">
                  <c:v>0.604566006053071</c:v>
                </c:pt>
                <c:pt idx="34">
                  <c:v>0.608623514544051</c:v>
                </c:pt>
                <c:pt idx="35">
                  <c:v>0.612602502680452</c:v>
                </c:pt>
              </c:numCache>
            </c:numRef>
          </c:val>
          <c:smooth val="0"/>
        </c:ser>
        <c:ser>
          <c:idx val="2"/>
          <c:order val="2"/>
          <c:tx>
            <c:strRef>
              <c:f>"High"</c:f>
              <c:strCache>
                <c:ptCount val="1"/>
                <c:pt idx="0">
                  <c:v>High</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Model_Base!$C$8:$AL$8</c:f>
              <c:multiLvlStrCache>
                <c:ptCount val="1"/>
                <c:lvl>
                  <c:pt idx="0">
                    <c:v>M36</c:v>
                  </c:pt>
                </c:lvl>
                <c:lvl>
                  <c:pt idx="0">
                    <c:v>M35</c:v>
                  </c:pt>
                </c:lvl>
                <c:lvl>
                  <c:pt idx="0">
                    <c:v>M34</c:v>
                  </c:pt>
                </c:lvl>
                <c:lvl>
                  <c:pt idx="0">
                    <c:v>M33</c:v>
                  </c:pt>
                </c:lvl>
                <c:lvl>
                  <c:pt idx="0">
                    <c:v>M32</c:v>
                  </c:pt>
                </c:lvl>
                <c:lvl>
                  <c:pt idx="0">
                    <c:v>M31</c:v>
                  </c:pt>
                </c:lvl>
                <c:lvl>
                  <c:pt idx="0">
                    <c:v>M30</c:v>
                  </c:pt>
                </c:lvl>
                <c:lvl>
                  <c:pt idx="0">
                    <c:v>M29</c:v>
                  </c:pt>
                </c:lvl>
                <c:lvl>
                  <c:pt idx="0">
                    <c:v>M28</c:v>
                  </c:pt>
                </c:lvl>
                <c:lvl>
                  <c:pt idx="0">
                    <c:v>M27</c:v>
                  </c:pt>
                </c:lvl>
                <c:lvl>
                  <c:pt idx="0">
                    <c:v>M26</c:v>
                  </c:pt>
                </c:lvl>
                <c:lvl>
                  <c:pt idx="0">
                    <c:v>M25</c:v>
                  </c:pt>
                </c:lvl>
                <c:lvl>
                  <c:pt idx="0">
                    <c:v>M24</c:v>
                  </c:pt>
                </c:lvl>
                <c:lvl>
                  <c:pt idx="0">
                    <c:v>M23</c:v>
                  </c:pt>
                </c:lvl>
                <c:lvl>
                  <c:pt idx="0">
                    <c:v>M22</c:v>
                  </c:pt>
                </c:lvl>
                <c:lvl>
                  <c:pt idx="0">
                    <c:v>M21</c:v>
                  </c:pt>
                </c:lvl>
                <c:lvl>
                  <c:pt idx="0">
                    <c:v>M20</c:v>
                  </c:pt>
                </c:lvl>
                <c:lvl>
                  <c:pt idx="0">
                    <c:v>M19</c:v>
                  </c:pt>
                </c:lvl>
                <c:lvl>
                  <c:pt idx="0">
                    <c:v>M18</c:v>
                  </c:pt>
                </c:lvl>
                <c:lvl>
                  <c:pt idx="0">
                    <c:v>M17</c:v>
                  </c:pt>
                </c:lvl>
                <c:lvl>
                  <c:pt idx="0">
                    <c:v>M16</c:v>
                  </c:pt>
                </c:lvl>
                <c:lvl>
                  <c:pt idx="0">
                    <c:v>M15</c:v>
                  </c:pt>
                </c:lvl>
                <c:lvl>
                  <c:pt idx="0">
                    <c:v>M14</c:v>
                  </c:pt>
                </c:lvl>
                <c:lvl>
                  <c:pt idx="0">
                    <c:v>M13</c:v>
                  </c:pt>
                </c:lvl>
                <c:lvl>
                  <c:pt idx="0">
                    <c:v>M12</c:v>
                  </c:pt>
                </c:lvl>
                <c:lvl>
                  <c:pt idx="0">
                    <c:v>M11</c:v>
                  </c:pt>
                </c:lvl>
                <c:lvl>
                  <c:pt idx="0">
                    <c:v>M10</c:v>
                  </c:pt>
                </c:lvl>
                <c:lvl>
                  <c:pt idx="0">
                    <c:v>M9</c:v>
                  </c:pt>
                </c:lvl>
                <c:lvl>
                  <c:pt idx="0">
                    <c:v>M8</c:v>
                  </c:pt>
                </c:lvl>
                <c:lvl>
                  <c:pt idx="0">
                    <c:v>M7</c:v>
                  </c:pt>
                </c:lvl>
                <c:lvl>
                  <c:pt idx="0">
                    <c:v>M6</c:v>
                  </c:pt>
                </c:lvl>
                <c:lvl>
                  <c:pt idx="0">
                    <c:v>M5</c:v>
                  </c:pt>
                </c:lvl>
                <c:lvl>
                  <c:pt idx="0">
                    <c:v>M4</c:v>
                  </c:pt>
                </c:lvl>
                <c:lvl>
                  <c:pt idx="0">
                    <c:v>M3</c:v>
                  </c:pt>
                </c:lvl>
                <c:lvl>
                  <c:pt idx="0">
                    <c:v>M2</c:v>
                  </c:pt>
                </c:lvl>
                <c:lvl>
                  <c:pt idx="0">
                    <c:v>M1</c:v>
                  </c:pt>
                </c:lvl>
              </c:multiLvlStrCache>
            </c:multiLvlStrRef>
          </c:cat>
          <c:val>
            <c:numRef>
              <c:f>Model_High!$C$35:$AL$35</c:f>
              <c:numCache>
                <c:formatCode>0.0%;\(0.0%\);\-</c:formatCode>
                <c:ptCount val="36"/>
                <c:pt idx="0">
                  <c:v>0.444565217391304</c:v>
                </c:pt>
                <c:pt idx="1">
                  <c:v>0.457574973472056</c:v>
                </c:pt>
                <c:pt idx="2">
                  <c:v>0.470112950937737</c:v>
                </c:pt>
                <c:pt idx="3">
                  <c:v>0.482198195895537</c:v>
                </c:pt>
                <c:pt idx="4">
                  <c:v>0.493848966077515</c:v>
                </c:pt>
                <c:pt idx="5">
                  <c:v>0.505082763649472</c:v>
                </c:pt>
                <c:pt idx="6">
                  <c:v>0.515916366652911</c:v>
                </c:pt>
                <c:pt idx="7">
                  <c:v>0.526365859137042</c:v>
                </c:pt>
                <c:pt idx="8">
                  <c:v>0.536446660035426</c:v>
                </c:pt>
                <c:pt idx="9">
                  <c:v>0.546173550839577</c:v>
                </c:pt>
                <c:pt idx="10">
                  <c:v>0.555560702119647</c:v>
                </c:pt>
                <c:pt idx="11">
                  <c:v>0.564621698940236</c:v>
                </c:pt>
                <c:pt idx="12">
                  <c:v>0.573369565217391</c:v>
                </c:pt>
                <c:pt idx="13">
                  <c:v>0.581816787060888</c:v>
                </c:pt>
                <c:pt idx="14">
                  <c:v>0.589975335144102</c:v>
                </c:pt>
                <c:pt idx="15">
                  <c:v>0.597856686141988</c:v>
                </c:pt>
                <c:pt idx="16">
                  <c:v>0.605471843275987</c:v>
                </c:pt>
                <c:pt idx="17">
                  <c:v>0.612831356003102</c:v>
                </c:pt>
                <c:pt idx="18">
                  <c:v>0.61994533888478</c:v>
                </c:pt>
                <c:pt idx="19">
                  <c:v>0.626823489669799</c:v>
                </c:pt>
                <c:pt idx="20">
                  <c:v>0.633475106623901</c:v>
                </c:pt>
                <c:pt idx="21">
                  <c:v>0.639909105137572</c:v>
                </c:pt>
                <c:pt idx="22">
                  <c:v>0.646134033642028</c:v>
                </c:pt>
                <c:pt idx="23">
                  <c:v>0.652158088862268</c:v>
                </c:pt>
                <c:pt idx="24">
                  <c:v>0.657989130434783</c:v>
                </c:pt>
                <c:pt idx="25">
                  <c:v>0.663634694916422</c:v>
                </c:pt>
                <c:pt idx="26">
                  <c:v>0.669102009209776</c:v>
                </c:pt>
                <c:pt idx="27">
                  <c:v>0.674398003429392</c:v>
                </c:pt>
                <c:pt idx="28">
                  <c:v>0.679529323232123</c:v>
                </c:pt>
                <c:pt idx="29">
                  <c:v>0.684502341633938</c:v>
                </c:pt>
                <c:pt idx="30">
                  <c:v>0.689323170334598</c:v>
                </c:pt>
                <c:pt idx="31">
                  <c:v>0.693997670570695</c:v>
                </c:pt>
                <c:pt idx="32">
                  <c:v>0.698531463516722</c:v>
                </c:pt>
                <c:pt idx="33">
                  <c:v>0.702929940252986</c:v>
                </c:pt>
                <c:pt idx="34">
                  <c:v>0.707198271318433</c:v>
                </c:pt>
                <c:pt idx="35">
                  <c:v>0.711341415865675</c:v>
                </c:pt>
              </c:numCache>
            </c:numRef>
          </c:val>
          <c:smooth val="0"/>
        </c:ser>
        <c:hiLowLines>
          <c:spPr>
            <a:ln w="0">
              <a:noFill/>
            </a:ln>
          </c:spPr>
        </c:hiLowLines>
        <c:marker val="0"/>
        <c:axId val="71834827"/>
        <c:axId val="9256939"/>
      </c:lineChart>
      <c:catAx>
        <c:axId val="7183482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256939"/>
        <c:crosses val="autoZero"/>
        <c:auto val="1"/>
        <c:lblAlgn val="ctr"/>
        <c:lblOffset val="100"/>
        <c:noMultiLvlLbl val="0"/>
      </c:catAx>
      <c:valAx>
        <c:axId val="92569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Gross margin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8348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16</xdr:col>
      <xdr:colOff>364680</xdr:colOff>
      <xdr:row>18</xdr:row>
      <xdr:rowOff>172440</xdr:rowOff>
    </xdr:to>
    <xdr:graphicFrame>
      <xdr:nvGraphicFramePr>
        <xdr:cNvPr id="0" name="Chart 1"/>
        <xdr:cNvGraphicFramePr/>
      </xdr:nvGraphicFramePr>
      <xdr:xfrm>
        <a:off x="13016880" y="57168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21</xdr:row>
      <xdr:rowOff>160920</xdr:rowOff>
    </xdr:from>
    <xdr:to>
      <xdr:col>16</xdr:col>
      <xdr:colOff>364680</xdr:colOff>
      <xdr:row>37</xdr:row>
      <xdr:rowOff>60120</xdr:rowOff>
    </xdr:to>
    <xdr:graphicFrame>
      <xdr:nvGraphicFramePr>
        <xdr:cNvPr id="1" name="Chart 2"/>
        <xdr:cNvGraphicFramePr/>
      </xdr:nvGraphicFramePr>
      <xdr:xfrm>
        <a:off x="13016880" y="4191120"/>
        <a:ext cx="647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46.25" hidden="false" customHeight="false" outlineLevel="0" collapsed="false">
      <c r="A6" s="5" t="s">
        <v>5</v>
      </c>
      <c r="B6" s="6" t="s">
        <v>6</v>
      </c>
    </row>
    <row r="7" customFormat="false" ht="15" hidden="false" customHeight="false" outlineLevel="0" collapsed="false">
      <c r="A7" s="5" t="s">
        <v>7</v>
      </c>
      <c r="B7" s="6" t="s">
        <v>8</v>
      </c>
    </row>
    <row r="8" customFormat="false" ht="23.85" hidden="false" customHeight="false" outlineLevel="0" collapsed="false">
      <c r="A8" s="5" t="s">
        <v>9</v>
      </c>
      <c r="B8" s="6" t="s">
        <v>10</v>
      </c>
    </row>
    <row r="10" customFormat="false" ht="15" hidden="false" customHeight="false" outlineLevel="0" collapsed="false">
      <c r="A10" s="3" t="s">
        <v>11</v>
      </c>
      <c r="B10" s="4"/>
    </row>
    <row r="11" customFormat="false" ht="23.85" hidden="false" customHeight="false" outlineLevel="0" collapsed="false">
      <c r="A11" s="5" t="s">
        <v>12</v>
      </c>
      <c r="B11" s="6" t="s">
        <v>13</v>
      </c>
    </row>
    <row r="12" customFormat="false" ht="23.85" hidden="false" customHeight="false" outlineLevel="0" collapsed="false">
      <c r="A12" s="5" t="s">
        <v>14</v>
      </c>
      <c r="B12" s="6" t="s">
        <v>15</v>
      </c>
    </row>
    <row r="13" customFormat="false" ht="23.85" hidden="false" customHeight="false" outlineLevel="0" collapsed="false">
      <c r="A13" s="5" t="s">
        <v>16</v>
      </c>
      <c r="B13" s="6" t="s">
        <v>17</v>
      </c>
    </row>
    <row r="15" customFormat="false" ht="15" hidden="false" customHeight="false" outlineLevel="0" collapsed="false">
      <c r="A15" s="3" t="s">
        <v>18</v>
      </c>
      <c r="B15" s="4"/>
    </row>
    <row r="16" customFormat="false" ht="15" hidden="false" customHeight="false" outlineLevel="0" collapsed="false">
      <c r="A16" s="5" t="s">
        <v>19</v>
      </c>
      <c r="B16" s="6" t="s">
        <v>20</v>
      </c>
    </row>
    <row r="17" customFormat="false" ht="23.85" hidden="false" customHeight="false" outlineLevel="0" collapsed="false">
      <c r="A17" s="5" t="s">
        <v>21</v>
      </c>
      <c r="B17" s="6" t="s">
        <v>22</v>
      </c>
    </row>
    <row r="18" customFormat="false" ht="15" hidden="false" customHeight="false" outlineLevel="0" collapsed="false">
      <c r="A18" s="5" t="s">
        <v>23</v>
      </c>
      <c r="B18" s="6" t="s">
        <v>24</v>
      </c>
    </row>
    <row r="19" customFormat="false" ht="23.85" hidden="false" customHeight="false" outlineLevel="0" collapsed="false">
      <c r="A19" s="5" t="s">
        <v>25</v>
      </c>
      <c r="B19" s="6" t="s">
        <v>26</v>
      </c>
    </row>
    <row r="20" customFormat="false" ht="15" hidden="false" customHeight="false" outlineLevel="0" collapsed="false">
      <c r="A20" s="5" t="s">
        <v>27</v>
      </c>
      <c r="B20" s="6" t="s">
        <v>28</v>
      </c>
    </row>
    <row r="22" customFormat="false" ht="15" hidden="false" customHeight="false" outlineLevel="0" collapsed="false">
      <c r="A22" s="3" t="s">
        <v>29</v>
      </c>
      <c r="B22" s="4"/>
    </row>
    <row r="23" customFormat="false" ht="15" hidden="false" customHeight="false" outlineLevel="0" collapsed="false">
      <c r="A23" s="5" t="s">
        <v>30</v>
      </c>
      <c r="B23" s="6" t="s">
        <v>31</v>
      </c>
    </row>
    <row r="24" customFormat="false" ht="15" hidden="false" customHeight="false" outlineLevel="0" collapsed="false">
      <c r="A24" s="5" t="s">
        <v>32</v>
      </c>
      <c r="B24" s="6" t="s">
        <v>33</v>
      </c>
    </row>
    <row r="25" customFormat="false" ht="15" hidden="false" customHeight="false" outlineLevel="0" collapsed="false">
      <c r="A25" s="5" t="s">
        <v>34</v>
      </c>
      <c r="B25" s="6" t="s">
        <v>35</v>
      </c>
    </row>
    <row r="27" customFormat="false" ht="15" hidden="false" customHeight="false" outlineLevel="0" collapsed="false">
      <c r="A27" s="3" t="s">
        <v>36</v>
      </c>
      <c r="B27" s="4"/>
    </row>
    <row r="28" customFormat="false" ht="15" hidden="false" customHeight="false" outlineLevel="0" collapsed="false">
      <c r="A28" s="5" t="s">
        <v>37</v>
      </c>
      <c r="B28" s="6" t="s">
        <v>38</v>
      </c>
    </row>
    <row r="29" customFormat="false" ht="15" hidden="false" customHeight="false" outlineLevel="0" collapsed="false">
      <c r="A29" s="5" t="s">
        <v>39</v>
      </c>
      <c r="B29" s="6" t="s">
        <v>40</v>
      </c>
    </row>
    <row r="30" customFormat="false" ht="23.85" hidden="false" customHeight="false" outlineLevel="0" collapsed="false">
      <c r="A30" s="5" t="s">
        <v>41</v>
      </c>
      <c r="B30" s="6"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0"/>
    <col collapsed="false" customWidth="true" hidden="false" outlineLevel="0" max="3" min="3" style="0" width="56"/>
  </cols>
  <sheetData>
    <row r="1" customFormat="false" ht="17.35" hidden="false" customHeight="false" outlineLevel="0" collapsed="false">
      <c r="A1" s="1" t="s">
        <v>43</v>
      </c>
    </row>
    <row r="2" customFormat="false" ht="15" hidden="false" customHeight="false" outlineLevel="0" collapsed="false">
      <c r="A2" s="2" t="s">
        <v>44</v>
      </c>
    </row>
    <row r="4" customFormat="false" ht="15" hidden="false" customHeight="false" outlineLevel="0" collapsed="false">
      <c r="A4" s="3" t="s">
        <v>45</v>
      </c>
      <c r="B4" s="4"/>
      <c r="C4" s="4"/>
    </row>
    <row r="5" customFormat="false" ht="57.45" hidden="false" customHeight="false" outlineLevel="0" collapsed="false">
      <c r="A5" s="5" t="s">
        <v>46</v>
      </c>
      <c r="B5" s="6" t="s">
        <v>47</v>
      </c>
      <c r="C5" s="6" t="s">
        <v>48</v>
      </c>
    </row>
    <row r="6" customFormat="false" ht="35.05" hidden="false" customHeight="false" outlineLevel="0" collapsed="false">
      <c r="A6" s="5" t="s">
        <v>49</v>
      </c>
      <c r="B6" s="6" t="s">
        <v>50</v>
      </c>
      <c r="C6" s="6" t="s">
        <v>51</v>
      </c>
    </row>
    <row r="8" customFormat="false" ht="15" hidden="false" customHeight="false" outlineLevel="0" collapsed="false">
      <c r="A8" s="3" t="s">
        <v>52</v>
      </c>
      <c r="B8" s="4" t="s">
        <v>53</v>
      </c>
      <c r="C8" s="4" t="s">
        <v>54</v>
      </c>
    </row>
    <row r="9" customFormat="false" ht="15" hidden="false" customHeight="false" outlineLevel="0" collapsed="false">
      <c r="A9" s="5" t="s">
        <v>55</v>
      </c>
      <c r="B9" s="6" t="s">
        <v>56</v>
      </c>
      <c r="C9" s="6" t="s">
        <v>57</v>
      </c>
    </row>
    <row r="10" customFormat="false" ht="15" hidden="false" customHeight="false" outlineLevel="0" collapsed="false">
      <c r="A10" s="5" t="s">
        <v>58</v>
      </c>
      <c r="B10" s="6" t="s">
        <v>59</v>
      </c>
      <c r="C10" s="6" t="s">
        <v>60</v>
      </c>
    </row>
    <row r="11" customFormat="false" ht="15" hidden="false" customHeight="false" outlineLevel="0" collapsed="false">
      <c r="A11" s="5" t="s">
        <v>61</v>
      </c>
      <c r="B11" s="6" t="s">
        <v>62</v>
      </c>
      <c r="C11" s="6" t="s">
        <v>63</v>
      </c>
    </row>
    <row r="12" customFormat="false" ht="15" hidden="false" customHeight="false" outlineLevel="0" collapsed="false">
      <c r="A12" s="5" t="s">
        <v>64</v>
      </c>
      <c r="B12" s="6" t="s">
        <v>65</v>
      </c>
      <c r="C12" s="6" t="s">
        <v>66</v>
      </c>
    </row>
    <row r="13" customFormat="false" ht="15" hidden="false" customHeight="false" outlineLevel="0" collapsed="false">
      <c r="A13" s="5" t="s">
        <v>67</v>
      </c>
      <c r="B13" s="6" t="s">
        <v>68</v>
      </c>
      <c r="C13" s="6" t="s">
        <v>69</v>
      </c>
    </row>
    <row r="14" customFormat="false" ht="15" hidden="false" customHeight="false" outlineLevel="0" collapsed="false">
      <c r="A14" s="5" t="s">
        <v>70</v>
      </c>
      <c r="B14" s="6" t="s">
        <v>71</v>
      </c>
      <c r="C14" s="6" t="s">
        <v>72</v>
      </c>
    </row>
    <row r="15" customFormat="false" ht="15" hidden="false" customHeight="false" outlineLevel="0" collapsed="false">
      <c r="A15" s="5" t="s">
        <v>73</v>
      </c>
      <c r="B15" s="6" t="s">
        <v>74</v>
      </c>
      <c r="C15" s="6" t="s">
        <v>75</v>
      </c>
    </row>
    <row r="16" customFormat="false" ht="15" hidden="false" customHeight="false" outlineLevel="0" collapsed="false">
      <c r="A16" s="5" t="s">
        <v>76</v>
      </c>
      <c r="B16" s="6" t="s">
        <v>77</v>
      </c>
      <c r="C16" s="6" t="s">
        <v>78</v>
      </c>
    </row>
    <row r="17" customFormat="false" ht="15" hidden="false" customHeight="false" outlineLevel="0" collapsed="false">
      <c r="A17" s="5" t="s">
        <v>79</v>
      </c>
      <c r="B17" s="6" t="s">
        <v>80</v>
      </c>
      <c r="C17" s="6" t="s">
        <v>81</v>
      </c>
    </row>
    <row r="18" customFormat="false" ht="15" hidden="false" customHeight="false" outlineLevel="0" collapsed="false">
      <c r="A18" s="5" t="s">
        <v>82</v>
      </c>
      <c r="B18" s="6" t="s">
        <v>83</v>
      </c>
      <c r="C18" s="6" t="s">
        <v>84</v>
      </c>
    </row>
    <row r="19" customFormat="false" ht="15" hidden="false" customHeight="false" outlineLevel="0" collapsed="false">
      <c r="A19" s="5" t="s">
        <v>85</v>
      </c>
      <c r="B19" s="6" t="s">
        <v>86</v>
      </c>
      <c r="C19" s="6" t="s">
        <v>87</v>
      </c>
    </row>
    <row r="20" customFormat="false" ht="15" hidden="false" customHeight="false" outlineLevel="0" collapsed="false">
      <c r="A20" s="5" t="s">
        <v>88</v>
      </c>
      <c r="B20" s="6" t="s">
        <v>89</v>
      </c>
      <c r="C20" s="6" t="s">
        <v>90</v>
      </c>
    </row>
    <row r="21" customFormat="false" ht="15" hidden="false" customHeight="false" outlineLevel="0" collapsed="false">
      <c r="A21" s="5" t="s">
        <v>91</v>
      </c>
      <c r="B21" s="6" t="s">
        <v>92</v>
      </c>
      <c r="C21" s="6" t="s">
        <v>93</v>
      </c>
    </row>
    <row r="22" customFormat="false" ht="15" hidden="false" customHeight="false" outlineLevel="0" collapsed="false">
      <c r="A22" s="5" t="s">
        <v>94</v>
      </c>
      <c r="B22" s="6" t="s">
        <v>95</v>
      </c>
      <c r="C22" s="6" t="s">
        <v>96</v>
      </c>
    </row>
    <row r="23" customFormat="false" ht="15" hidden="false" customHeight="false" outlineLevel="0" collapsed="false">
      <c r="A23" s="5" t="s">
        <v>97</v>
      </c>
      <c r="B23" s="6" t="s">
        <v>98</v>
      </c>
      <c r="C23" s="6" t="s">
        <v>99</v>
      </c>
    </row>
    <row r="24" customFormat="false" ht="15" hidden="false" customHeight="false" outlineLevel="0" collapsed="false">
      <c r="A24" s="5" t="s">
        <v>100</v>
      </c>
      <c r="B24" s="6" t="s">
        <v>101</v>
      </c>
      <c r="C24" s="6" t="s">
        <v>102</v>
      </c>
    </row>
    <row r="25" customFormat="false" ht="15" hidden="false" customHeight="false" outlineLevel="0" collapsed="false">
      <c r="A25" s="5" t="s">
        <v>103</v>
      </c>
      <c r="B25" s="6" t="s">
        <v>104</v>
      </c>
      <c r="C25" s="6" t="s">
        <v>105</v>
      </c>
    </row>
    <row r="26" customFormat="false" ht="23.85" hidden="false" customHeight="false" outlineLevel="0" collapsed="false">
      <c r="A26" s="5" t="s">
        <v>106</v>
      </c>
      <c r="B26" s="6" t="s">
        <v>107</v>
      </c>
      <c r="C26" s="6" t="s">
        <v>108</v>
      </c>
    </row>
    <row r="27" customFormat="false" ht="15" hidden="false" customHeight="false" outlineLevel="0" collapsed="false">
      <c r="A27" s="5" t="s">
        <v>109</v>
      </c>
      <c r="B27" s="6" t="s">
        <v>110</v>
      </c>
      <c r="C27" s="6" t="s">
        <v>111</v>
      </c>
    </row>
    <row r="29" customFormat="false" ht="15" hidden="false" customHeight="false" outlineLevel="0" collapsed="false">
      <c r="A29" s="3" t="s">
        <v>112</v>
      </c>
      <c r="B29" s="4" t="s">
        <v>113</v>
      </c>
      <c r="C29" s="4" t="s">
        <v>114</v>
      </c>
    </row>
    <row r="30" customFormat="false" ht="15" hidden="false" customHeight="false" outlineLevel="0" collapsed="false">
      <c r="A30" s="5" t="s">
        <v>115</v>
      </c>
      <c r="B30" s="6" t="s">
        <v>116</v>
      </c>
      <c r="C30" s="6" t="s">
        <v>117</v>
      </c>
    </row>
    <row r="31" customFormat="false" ht="23.85" hidden="false" customHeight="false" outlineLevel="0" collapsed="false">
      <c r="A31" s="5" t="s">
        <v>118</v>
      </c>
      <c r="B31" s="6" t="s">
        <v>119</v>
      </c>
      <c r="C31" s="6" t="s">
        <v>120</v>
      </c>
    </row>
    <row r="32" customFormat="false" ht="15" hidden="false" customHeight="false" outlineLevel="0" collapsed="false">
      <c r="A32" s="5" t="s">
        <v>121</v>
      </c>
      <c r="B32" s="6" t="s">
        <v>122</v>
      </c>
      <c r="C32" s="6" t="s">
        <v>123</v>
      </c>
    </row>
    <row r="33" customFormat="false" ht="23.85" hidden="false" customHeight="false" outlineLevel="0" collapsed="false">
      <c r="A33" s="5" t="s">
        <v>124</v>
      </c>
      <c r="B33" s="6" t="s">
        <v>125</v>
      </c>
      <c r="C33" s="6" t="s">
        <v>126</v>
      </c>
    </row>
    <row r="34" customFormat="false" ht="23.85" hidden="false" customHeight="false" outlineLevel="0" collapsed="false">
      <c r="A34" s="5" t="s">
        <v>127</v>
      </c>
      <c r="B34" s="6" t="s">
        <v>128</v>
      </c>
      <c r="C34" s="6" t="s">
        <v>129</v>
      </c>
    </row>
    <row r="35" customFormat="false" ht="23.85" hidden="false" customHeight="false" outlineLevel="0" collapsed="false">
      <c r="A35" s="5" t="s">
        <v>91</v>
      </c>
      <c r="B35" s="6" t="s">
        <v>130</v>
      </c>
      <c r="C35" s="6" t="s">
        <v>131</v>
      </c>
    </row>
    <row r="36" customFormat="false" ht="23.85" hidden="false" customHeight="false" outlineLevel="0" collapsed="false">
      <c r="A36" s="5" t="s">
        <v>132</v>
      </c>
      <c r="B36" s="6" t="s">
        <v>133</v>
      </c>
      <c r="C36" s="6" t="s">
        <v>134</v>
      </c>
    </row>
    <row r="38" customFormat="false" ht="15" hidden="false" customHeight="false" outlineLevel="0" collapsed="false">
      <c r="A38" s="3" t="s">
        <v>135</v>
      </c>
      <c r="B38" s="4" t="s">
        <v>136</v>
      </c>
      <c r="C38" s="4" t="s">
        <v>137</v>
      </c>
    </row>
    <row r="39" customFormat="false" ht="35.05" hidden="false" customHeight="false" outlineLevel="0" collapsed="false">
      <c r="A39" s="5" t="s">
        <v>138</v>
      </c>
      <c r="B39" s="6" t="s">
        <v>139</v>
      </c>
      <c r="C39" s="6" t="s">
        <v>140</v>
      </c>
    </row>
    <row r="40" customFormat="false" ht="35.05" hidden="false" customHeight="false" outlineLevel="0" collapsed="false">
      <c r="A40" s="5" t="s">
        <v>141</v>
      </c>
      <c r="B40" s="6" t="s">
        <v>142</v>
      </c>
      <c r="C40" s="6" t="s">
        <v>143</v>
      </c>
    </row>
    <row r="41" customFormat="false" ht="23.85" hidden="false" customHeight="false" outlineLevel="0" collapsed="false">
      <c r="A41" s="5" t="s">
        <v>144</v>
      </c>
      <c r="B41" s="6" t="s">
        <v>145</v>
      </c>
      <c r="C41" s="6" t="s">
        <v>146</v>
      </c>
    </row>
    <row r="42" customFormat="false" ht="23.85" hidden="false" customHeight="false" outlineLevel="0" collapsed="false">
      <c r="A42" s="5" t="s">
        <v>147</v>
      </c>
      <c r="B42" s="6" t="s">
        <v>148</v>
      </c>
      <c r="C42" s="6"/>
    </row>
    <row r="44" customFormat="false" ht="15" hidden="false" customHeight="false" outlineLevel="0" collapsed="false">
      <c r="A44" s="3" t="s">
        <v>149</v>
      </c>
      <c r="B44" s="4" t="s">
        <v>150</v>
      </c>
      <c r="C44" s="4"/>
    </row>
    <row r="45" customFormat="false" ht="46.25" hidden="false" customHeight="false" outlineLevel="0" collapsed="false">
      <c r="A45" s="5" t="s">
        <v>151</v>
      </c>
      <c r="B45" s="6" t="s">
        <v>152</v>
      </c>
      <c r="C45" s="6" t="s">
        <v>153</v>
      </c>
    </row>
    <row r="46" customFormat="false" ht="23.85" hidden="false" customHeight="false" outlineLevel="0" collapsed="false">
      <c r="A46" s="5" t="s">
        <v>154</v>
      </c>
      <c r="B46" s="6" t="s">
        <v>155</v>
      </c>
      <c r="C46" s="6" t="s">
        <v>156</v>
      </c>
    </row>
    <row r="48" customFormat="false" ht="15" hidden="false" customHeight="false" outlineLevel="0" collapsed="false">
      <c r="A48" s="3" t="s">
        <v>157</v>
      </c>
      <c r="B48" s="4"/>
      <c r="C48" s="4"/>
    </row>
    <row r="49" customFormat="false" ht="57.45" hidden="false" customHeight="false" outlineLevel="0" collapsed="false">
      <c r="A49" s="5" t="s">
        <v>158</v>
      </c>
      <c r="B49" s="6" t="s">
        <v>159</v>
      </c>
      <c r="C49" s="6" t="s">
        <v>160</v>
      </c>
    </row>
    <row r="50" customFormat="false" ht="23.85" hidden="false" customHeight="false" outlineLevel="0" collapsed="false">
      <c r="A50" s="5" t="s">
        <v>161</v>
      </c>
      <c r="B50" s="6" t="s">
        <v>162</v>
      </c>
      <c r="C50" s="6"/>
    </row>
    <row r="52" customFormat="false" ht="15" hidden="false" customHeight="false" outlineLevel="0" collapsed="false">
      <c r="A52" s="3" t="s">
        <v>163</v>
      </c>
      <c r="B52" s="4"/>
      <c r="C52" s="4"/>
    </row>
    <row r="53" customFormat="false" ht="35.05" hidden="false" customHeight="false" outlineLevel="0" collapsed="false">
      <c r="A53" s="5" t="s">
        <v>164</v>
      </c>
      <c r="B53" s="6" t="s">
        <v>165</v>
      </c>
      <c r="C53" s="6" t="s">
        <v>166</v>
      </c>
    </row>
    <row r="55" customFormat="false" ht="15" hidden="false" customHeight="false" outlineLevel="0" collapsed="false">
      <c r="A55" s="3" t="s">
        <v>167</v>
      </c>
      <c r="B55" s="4"/>
      <c r="C55" s="4"/>
    </row>
    <row r="56" customFormat="false" ht="15" hidden="false" customHeight="false" outlineLevel="0" collapsed="false">
      <c r="A56" s="5" t="s">
        <v>168</v>
      </c>
      <c r="B56" s="6" t="s">
        <v>169</v>
      </c>
      <c r="C56" s="6"/>
    </row>
    <row r="57" customFormat="false" ht="15" hidden="false" customHeight="false" outlineLevel="0" collapsed="false">
      <c r="A57" s="5" t="s">
        <v>170</v>
      </c>
      <c r="B57" s="6" t="s">
        <v>171</v>
      </c>
      <c r="C57" s="6"/>
    </row>
    <row r="58" customFormat="false" ht="35.05" hidden="false" customHeight="false" outlineLevel="0" collapsed="false">
      <c r="A58" s="5" t="s">
        <v>172</v>
      </c>
      <c r="B58" s="6" t="s">
        <v>173</v>
      </c>
      <c r="C58" s="6"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26"/>
    <col collapsed="false" customWidth="true" hidden="false" outlineLevel="0" max="5" min="3" style="0" width="14"/>
    <col collapsed="false" customWidth="true" hidden="false" outlineLevel="0" max="6" min="6" style="0" width="78"/>
  </cols>
  <sheetData>
    <row r="1" customFormat="false" ht="17.35" hidden="false" customHeight="false" outlineLevel="0" collapsed="false">
      <c r="A1" s="1" t="s">
        <v>175</v>
      </c>
    </row>
    <row r="2" customFormat="false" ht="15" hidden="false" customHeight="false" outlineLevel="0" collapsed="false">
      <c r="A2" s="2" t="s">
        <v>176</v>
      </c>
    </row>
    <row r="4" customFormat="false" ht="15" hidden="false" customHeight="false" outlineLevel="0" collapsed="false">
      <c r="A4" s="3" t="s">
        <v>177</v>
      </c>
      <c r="B4" s="4" t="s">
        <v>178</v>
      </c>
      <c r="C4" s="4" t="s">
        <v>179</v>
      </c>
      <c r="D4" s="4" t="s">
        <v>180</v>
      </c>
      <c r="E4" s="4" t="s">
        <v>181</v>
      </c>
      <c r="F4" s="4" t="s">
        <v>54</v>
      </c>
    </row>
    <row r="5" customFormat="false" ht="15" hidden="false" customHeight="false" outlineLevel="0" collapsed="false">
      <c r="A5" s="7" t="s">
        <v>182</v>
      </c>
      <c r="B5" s="7" t="s">
        <v>183</v>
      </c>
      <c r="C5" s="8" t="n">
        <v>0.02</v>
      </c>
      <c r="D5" s="8" t="n">
        <v>0.04</v>
      </c>
      <c r="E5" s="8" t="n">
        <v>0.06</v>
      </c>
      <c r="F5" s="6" t="s">
        <v>184</v>
      </c>
    </row>
    <row r="6" customFormat="false" ht="15" hidden="false" customHeight="false" outlineLevel="0" collapsed="false">
      <c r="A6" s="7" t="s">
        <v>185</v>
      </c>
      <c r="B6" s="7" t="s">
        <v>183</v>
      </c>
      <c r="C6" s="8" t="n">
        <v>0.005</v>
      </c>
      <c r="D6" s="8" t="n">
        <v>0.01</v>
      </c>
      <c r="E6" s="8" t="n">
        <v>0.015</v>
      </c>
      <c r="F6" s="6" t="s">
        <v>186</v>
      </c>
    </row>
    <row r="7" customFormat="false" ht="15" hidden="false" customHeight="false" outlineLevel="0" collapsed="false">
      <c r="A7" s="7" t="s">
        <v>187</v>
      </c>
      <c r="B7" s="7" t="s">
        <v>188</v>
      </c>
      <c r="C7" s="8" t="n">
        <v>0.1</v>
      </c>
      <c r="D7" s="8" t="n">
        <v>0.25</v>
      </c>
      <c r="E7" s="8" t="n">
        <v>0.4</v>
      </c>
      <c r="F7" s="6" t="s">
        <v>189</v>
      </c>
    </row>
    <row r="8" customFormat="false" ht="15" hidden="false" customHeight="false" outlineLevel="0" collapsed="false">
      <c r="A8" s="7" t="s">
        <v>190</v>
      </c>
      <c r="B8" s="7" t="s">
        <v>188</v>
      </c>
      <c r="C8" s="8" t="n">
        <v>0</v>
      </c>
      <c r="D8" s="8" t="n">
        <v>0.05</v>
      </c>
      <c r="E8" s="8" t="n">
        <v>0.1</v>
      </c>
      <c r="F8" s="6" t="s">
        <v>191</v>
      </c>
    </row>
    <row r="9" customFormat="false" ht="15" hidden="false" customHeight="false" outlineLevel="0" collapsed="false">
      <c r="A9" s="7" t="s">
        <v>192</v>
      </c>
      <c r="B9" s="7" t="s">
        <v>193</v>
      </c>
      <c r="C9" s="8" t="n">
        <v>0.05</v>
      </c>
      <c r="D9" s="8" t="n">
        <v>0.1</v>
      </c>
      <c r="E9" s="8" t="n">
        <v>0.2</v>
      </c>
      <c r="F9" s="6" t="s">
        <v>194</v>
      </c>
    </row>
    <row r="11" customFormat="false" ht="15" hidden="false" customHeight="false" outlineLevel="0" collapsed="false">
      <c r="A11" s="3" t="s">
        <v>195</v>
      </c>
      <c r="B11" s="4" t="s">
        <v>178</v>
      </c>
      <c r="C11" s="4" t="s">
        <v>196</v>
      </c>
      <c r="D11" s="4"/>
      <c r="E11" s="4"/>
      <c r="F11" s="4" t="s">
        <v>197</v>
      </c>
    </row>
    <row r="12" customFormat="false" ht="15" hidden="false" customHeight="false" outlineLevel="0" collapsed="false">
      <c r="A12" s="9" t="s">
        <v>198</v>
      </c>
      <c r="B12" s="10"/>
      <c r="C12" s="10"/>
      <c r="D12" s="10"/>
      <c r="E12" s="10"/>
      <c r="F12" s="10"/>
    </row>
    <row r="13" customFormat="false" ht="15" hidden="false" customHeight="false" outlineLevel="0" collapsed="false">
      <c r="A13" s="7" t="s">
        <v>199</v>
      </c>
      <c r="B13" s="7" t="s">
        <v>200</v>
      </c>
      <c r="C13" s="11" t="n">
        <v>200</v>
      </c>
      <c r="F13" s="6" t="s">
        <v>201</v>
      </c>
    </row>
    <row r="14" customFormat="false" ht="15" hidden="false" customHeight="false" outlineLevel="0" collapsed="false">
      <c r="A14" s="7" t="s">
        <v>202</v>
      </c>
      <c r="B14" s="7" t="s">
        <v>200</v>
      </c>
      <c r="C14" s="11" t="n">
        <v>2000</v>
      </c>
      <c r="F14" s="6" t="s">
        <v>203</v>
      </c>
    </row>
    <row r="15" customFormat="false" ht="15" hidden="false" customHeight="false" outlineLevel="0" collapsed="false">
      <c r="A15" s="7" t="s">
        <v>204</v>
      </c>
      <c r="B15" s="7" t="s">
        <v>205</v>
      </c>
      <c r="C15" s="11" t="n">
        <v>4000</v>
      </c>
      <c r="F15" s="6" t="s">
        <v>206</v>
      </c>
    </row>
    <row r="16" customFormat="false" ht="15" hidden="false" customHeight="false" outlineLevel="0" collapsed="false">
      <c r="A16" s="9" t="s">
        <v>207</v>
      </c>
      <c r="B16" s="10"/>
      <c r="C16" s="10"/>
      <c r="D16" s="10"/>
      <c r="E16" s="10"/>
      <c r="F16" s="10"/>
    </row>
    <row r="17" customFormat="false" ht="15" hidden="false" customHeight="false" outlineLevel="0" collapsed="false">
      <c r="A17" s="7" t="s">
        <v>208</v>
      </c>
      <c r="B17" s="7" t="s">
        <v>209</v>
      </c>
      <c r="C17" s="12" t="n">
        <v>0.02</v>
      </c>
      <c r="F17" s="6" t="s">
        <v>210</v>
      </c>
    </row>
    <row r="18" customFormat="false" ht="15" hidden="false" customHeight="false" outlineLevel="0" collapsed="false">
      <c r="A18" s="7" t="s">
        <v>211</v>
      </c>
      <c r="B18" s="7" t="s">
        <v>212</v>
      </c>
      <c r="C18" s="8" t="n">
        <v>0.4</v>
      </c>
      <c r="F18" s="6" t="s">
        <v>213</v>
      </c>
    </row>
    <row r="19" customFormat="false" ht="15" hidden="false" customHeight="false" outlineLevel="0" collapsed="false">
      <c r="A19" s="7" t="s">
        <v>214</v>
      </c>
      <c r="B19" s="7" t="s">
        <v>212</v>
      </c>
      <c r="C19" s="8" t="n">
        <v>0.2</v>
      </c>
      <c r="F19" s="6" t="s">
        <v>215</v>
      </c>
    </row>
    <row r="20" customFormat="false" ht="15" hidden="false" customHeight="false" outlineLevel="0" collapsed="false">
      <c r="A20" s="7" t="s">
        <v>216</v>
      </c>
      <c r="B20" s="7" t="s">
        <v>209</v>
      </c>
      <c r="C20" s="13" t="n">
        <v>0</v>
      </c>
      <c r="F20" s="6" t="s">
        <v>217</v>
      </c>
    </row>
    <row r="21" customFormat="false" ht="15" hidden="false" customHeight="false" outlineLevel="0" collapsed="false">
      <c r="A21" s="9" t="s">
        <v>79</v>
      </c>
      <c r="B21" s="10"/>
      <c r="C21" s="10"/>
      <c r="D21" s="10"/>
      <c r="E21" s="10"/>
      <c r="F21" s="10"/>
    </row>
    <row r="22" customFormat="false" ht="15" hidden="false" customHeight="false" outlineLevel="0" collapsed="false">
      <c r="A22" s="7" t="s">
        <v>218</v>
      </c>
      <c r="B22" s="7" t="s">
        <v>209</v>
      </c>
      <c r="C22" s="12" t="n">
        <v>0.006</v>
      </c>
      <c r="F22" s="6" t="s">
        <v>219</v>
      </c>
    </row>
    <row r="23" customFormat="false" ht="15" hidden="false" customHeight="false" outlineLevel="0" collapsed="false">
      <c r="A23" s="9" t="s">
        <v>220</v>
      </c>
      <c r="B23" s="10"/>
      <c r="C23" s="10"/>
      <c r="D23" s="10"/>
      <c r="E23" s="10"/>
      <c r="F23" s="10"/>
    </row>
    <row r="24" customFormat="false" ht="15" hidden="false" customHeight="false" outlineLevel="0" collapsed="false">
      <c r="A24" s="7" t="s">
        <v>221</v>
      </c>
      <c r="B24" s="7" t="s">
        <v>222</v>
      </c>
      <c r="C24" s="13" t="n">
        <v>12</v>
      </c>
      <c r="F24" s="6" t="s">
        <v>223</v>
      </c>
    </row>
    <row r="25" customFormat="false" ht="15" hidden="false" customHeight="false" outlineLevel="0" collapsed="false">
      <c r="A25" s="7" t="s">
        <v>224</v>
      </c>
      <c r="B25" s="7" t="s">
        <v>222</v>
      </c>
      <c r="C25" s="13" t="n">
        <v>3</v>
      </c>
      <c r="F25" s="6" t="s">
        <v>225</v>
      </c>
    </row>
    <row r="26" customFormat="false" ht="15" hidden="false" customHeight="false" outlineLevel="0" collapsed="false">
      <c r="A26" s="7" t="s">
        <v>226</v>
      </c>
      <c r="B26" s="7" t="s">
        <v>222</v>
      </c>
      <c r="C26" s="13" t="n">
        <v>5</v>
      </c>
      <c r="F26" s="6" t="s">
        <v>227</v>
      </c>
    </row>
    <row r="27" customFormat="false" ht="23.85" hidden="false" customHeight="false" outlineLevel="0" collapsed="false">
      <c r="A27" s="7" t="s">
        <v>228</v>
      </c>
      <c r="B27" s="7" t="s">
        <v>212</v>
      </c>
      <c r="C27" s="8" t="n">
        <v>0.1</v>
      </c>
      <c r="F27" s="6" t="s">
        <v>229</v>
      </c>
    </row>
    <row r="28" customFormat="false" ht="15" hidden="false" customHeight="false" outlineLevel="0" collapsed="false">
      <c r="A28" s="9" t="s">
        <v>91</v>
      </c>
      <c r="B28" s="10"/>
      <c r="C28" s="10"/>
      <c r="D28" s="10"/>
      <c r="E28" s="10"/>
      <c r="F28" s="10"/>
    </row>
    <row r="29" customFormat="false" ht="15" hidden="false" customHeight="false" outlineLevel="0" collapsed="false">
      <c r="A29" s="7" t="s">
        <v>230</v>
      </c>
      <c r="B29" s="7" t="s">
        <v>231</v>
      </c>
      <c r="C29" s="8" t="n">
        <v>0.05</v>
      </c>
      <c r="F29" s="6" t="s">
        <v>232</v>
      </c>
    </row>
    <row r="30" customFormat="false" ht="15" hidden="false" customHeight="false" outlineLevel="0" collapsed="false">
      <c r="A30" s="9" t="s">
        <v>233</v>
      </c>
      <c r="B30" s="10"/>
      <c r="C30" s="10"/>
      <c r="D30" s="10"/>
      <c r="E30" s="10"/>
      <c r="F30" s="10"/>
    </row>
    <row r="31" customFormat="false" ht="15" hidden="false" customHeight="false" outlineLevel="0" collapsed="false">
      <c r="A31" s="7" t="s">
        <v>234</v>
      </c>
      <c r="B31" s="7" t="s">
        <v>209</v>
      </c>
      <c r="C31" s="14" t="n">
        <v>750000</v>
      </c>
      <c r="F31" s="6" t="s">
        <v>235</v>
      </c>
    </row>
    <row r="32" customFormat="false" ht="15" hidden="false" customHeight="false" outlineLevel="0" collapsed="false">
      <c r="A32" s="7" t="s">
        <v>236</v>
      </c>
      <c r="B32" s="7" t="s">
        <v>212</v>
      </c>
      <c r="C32" s="8" t="n">
        <v>0.1</v>
      </c>
      <c r="F32" s="6" t="s">
        <v>237</v>
      </c>
    </row>
    <row r="33" customFormat="false" ht="15" hidden="false" customHeight="false" outlineLevel="0" collapsed="false">
      <c r="A33" s="7" t="s">
        <v>238</v>
      </c>
      <c r="B33" s="7" t="s">
        <v>212</v>
      </c>
      <c r="C33" s="8" t="n">
        <v>0.1</v>
      </c>
      <c r="F33" s="6" t="s">
        <v>239</v>
      </c>
    </row>
    <row r="34" customFormat="false" ht="15" hidden="false" customHeight="false" outlineLevel="0" collapsed="false">
      <c r="A34" s="7" t="s">
        <v>240</v>
      </c>
      <c r="B34" s="7" t="s">
        <v>212</v>
      </c>
      <c r="C34" s="8" t="n">
        <v>0.15</v>
      </c>
      <c r="F34" s="6" t="s">
        <v>241</v>
      </c>
    </row>
    <row r="35" customFormat="false" ht="23.85" hidden="false" customHeight="false" outlineLevel="0" collapsed="false">
      <c r="A35" s="7" t="s">
        <v>242</v>
      </c>
      <c r="B35" s="7" t="s">
        <v>243</v>
      </c>
      <c r="C35" s="15" t="n">
        <f aca="false">(1-C32)*(1-C33)*(1-C34)</f>
        <v>0.6885</v>
      </c>
      <c r="F35" s="6" t="s">
        <v>244</v>
      </c>
    </row>
    <row r="36" customFormat="false" ht="15" hidden="false" customHeight="false" outlineLevel="0" collapsed="false">
      <c r="A36" s="9" t="s">
        <v>245</v>
      </c>
      <c r="B36" s="10"/>
      <c r="C36" s="10"/>
      <c r="D36" s="10"/>
      <c r="E36" s="10"/>
      <c r="F36" s="10"/>
    </row>
    <row r="37" customFormat="false" ht="15" hidden="false" customHeight="false" outlineLevel="0" collapsed="false">
      <c r="A37" s="7" t="s">
        <v>246</v>
      </c>
      <c r="B37" s="7" t="s">
        <v>247</v>
      </c>
      <c r="C37" s="11" t="n">
        <v>12</v>
      </c>
      <c r="F37" s="6" t="s">
        <v>248</v>
      </c>
    </row>
    <row r="38" customFormat="false" ht="15" hidden="false" customHeight="false" outlineLevel="0" collapsed="false">
      <c r="A38" s="7" t="s">
        <v>249</v>
      </c>
      <c r="B38" s="7" t="s">
        <v>209</v>
      </c>
      <c r="C38" s="14" t="n">
        <v>750000</v>
      </c>
      <c r="F38" s="6" t="s">
        <v>250</v>
      </c>
    </row>
    <row r="39" customFormat="false" ht="15" hidden="false" customHeight="false" outlineLevel="0" collapsed="false">
      <c r="A39" s="7" t="s">
        <v>251</v>
      </c>
      <c r="B39" s="7" t="s">
        <v>209</v>
      </c>
      <c r="C39" s="14" t="n">
        <v>190000</v>
      </c>
      <c r="F39" s="6" t="s">
        <v>250</v>
      </c>
    </row>
    <row r="41" customFormat="false" ht="15" hidden="false" customHeight="false" outlineLevel="0" collapsed="false">
      <c r="A41" s="3" t="s">
        <v>252</v>
      </c>
      <c r="B41" s="4"/>
      <c r="C41" s="4" t="s">
        <v>253</v>
      </c>
      <c r="D41" s="4"/>
      <c r="E41" s="4"/>
      <c r="F41" s="4" t="s">
        <v>254</v>
      </c>
    </row>
    <row r="42" customFormat="false" ht="15" hidden="false" customHeight="false" outlineLevel="0" collapsed="false">
      <c r="A42" s="7" t="s">
        <v>255</v>
      </c>
      <c r="C42" s="16" t="str">
        <f aca="false">IF(AND(C18&gt;=0,C18&lt;=1),"OK","CHECK")</f>
        <v>OK</v>
      </c>
      <c r="F42" s="6" t="s">
        <v>256</v>
      </c>
    </row>
    <row r="43" customFormat="false" ht="15" hidden="false" customHeight="false" outlineLevel="0" collapsed="false">
      <c r="A43" s="7" t="s">
        <v>257</v>
      </c>
      <c r="C43" s="16" t="str">
        <f aca="false">IF(AND(C19&lt;1,C27&lt;1),"OK","CHECK")</f>
        <v>OK</v>
      </c>
      <c r="F43" s="6" t="s">
        <v>258</v>
      </c>
    </row>
    <row r="44" customFormat="false" ht="15" hidden="false" customHeight="false" outlineLevel="0" collapsed="false">
      <c r="A44" s="7" t="s">
        <v>259</v>
      </c>
      <c r="C44" s="16" t="str">
        <f aca="false">IF(AND(C32&lt;1,C33&lt;1,C34&lt;1),"OK","CHECK")</f>
        <v>OK</v>
      </c>
      <c r="F44" s="6" t="s">
        <v>260</v>
      </c>
    </row>
    <row r="45" customFormat="false" ht="15" hidden="false" customHeight="false" outlineLevel="0" collapsed="false">
      <c r="A45" s="7" t="s">
        <v>261</v>
      </c>
      <c r="C45" s="16" t="str">
        <f aca="false">IF(C37="","n/a",IF(AND(C37&gt;=1,C37&lt;=36),"OK","CHECK"))</f>
        <v>OK</v>
      </c>
      <c r="F45" s="6" t="s">
        <v>262</v>
      </c>
    </row>
    <row r="46" customFormat="false" ht="15" hidden="false" customHeight="false" outlineLevel="0" collapsed="false">
      <c r="A46" s="7" t="s">
        <v>263</v>
      </c>
      <c r="C46" s="16" t="str">
        <f aca="false">IF(AND(C5&lt;=D5,D5&lt;=E5,C6&lt;=D6,D6&lt;=E6,C7&lt;=D7,D7&lt;=E7,C8&lt;=D8,D8&lt;=E8,C9&lt;=D9,D9&lt;=E9),"OK","CHECK")</f>
        <v>OK</v>
      </c>
      <c r="F46" s="6"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8" min="3" style="0" width="13"/>
  </cols>
  <sheetData>
    <row r="1" customFormat="false" ht="17.35" hidden="false" customHeight="false" outlineLevel="0" collapsed="false">
      <c r="A1" s="1" t="s">
        <v>265</v>
      </c>
    </row>
    <row r="2" customFormat="false" ht="15" hidden="false" customHeight="false" outlineLevel="0" collapsed="false">
      <c r="A2" s="3" t="s">
        <v>266</v>
      </c>
      <c r="B2" s="4" t="s">
        <v>196</v>
      </c>
    </row>
    <row r="3" customFormat="false" ht="15" hidden="false" customHeight="false" outlineLevel="0" collapsed="false">
      <c r="A3" s="7" t="s">
        <v>182</v>
      </c>
      <c r="B3" s="17" t="n">
        <f aca="false">Inputs!C5</f>
        <v>0.02</v>
      </c>
    </row>
    <row r="4" customFormat="false" ht="15" hidden="false" customHeight="false" outlineLevel="0" collapsed="false">
      <c r="A4" s="7" t="s">
        <v>185</v>
      </c>
      <c r="B4" s="17" t="n">
        <f aca="false">Inputs!C6</f>
        <v>0.005</v>
      </c>
    </row>
    <row r="5" customFormat="false" ht="15" hidden="false" customHeight="false" outlineLevel="0" collapsed="false">
      <c r="A5" s="7" t="s">
        <v>187</v>
      </c>
      <c r="B5" s="17" t="n">
        <f aca="false">Inputs!C7</f>
        <v>0.1</v>
      </c>
    </row>
    <row r="6" customFormat="false" ht="15" hidden="false" customHeight="false" outlineLevel="0" collapsed="false">
      <c r="A6" s="7" t="s">
        <v>190</v>
      </c>
      <c r="B6" s="17" t="n">
        <f aca="false">Inputs!C8</f>
        <v>0</v>
      </c>
    </row>
    <row r="7" customFormat="false" ht="15" hidden="false" customHeight="false" outlineLevel="0" collapsed="false">
      <c r="A7" s="7" t="s">
        <v>192</v>
      </c>
      <c r="B7" s="17" t="n">
        <f aca="false">Inputs!C9</f>
        <v>0.05</v>
      </c>
    </row>
    <row r="8" customFormat="false" ht="15" hidden="false" customHeight="false" outlineLevel="0" collapsed="false">
      <c r="A8" s="3" t="s">
        <v>267</v>
      </c>
      <c r="B8" s="4" t="s">
        <v>178</v>
      </c>
      <c r="C8" s="18" t="n">
        <v>1</v>
      </c>
      <c r="D8" s="18" t="n">
        <v>2</v>
      </c>
      <c r="E8" s="18" t="n">
        <v>3</v>
      </c>
      <c r="F8" s="18" t="n">
        <v>4</v>
      </c>
      <c r="G8" s="18" t="n">
        <v>5</v>
      </c>
      <c r="H8" s="18" t="n">
        <v>6</v>
      </c>
      <c r="I8" s="18" t="n">
        <v>7</v>
      </c>
      <c r="J8" s="18" t="n">
        <v>8</v>
      </c>
      <c r="K8" s="18" t="n">
        <v>9</v>
      </c>
      <c r="L8" s="18" t="n">
        <v>10</v>
      </c>
      <c r="M8" s="18" t="n">
        <v>11</v>
      </c>
      <c r="N8" s="18" t="n">
        <v>12</v>
      </c>
      <c r="O8" s="18" t="n">
        <v>13</v>
      </c>
      <c r="P8" s="18" t="n">
        <v>14</v>
      </c>
      <c r="Q8" s="18" t="n">
        <v>15</v>
      </c>
      <c r="R8" s="18" t="n">
        <v>16</v>
      </c>
      <c r="S8" s="18" t="n">
        <v>17</v>
      </c>
      <c r="T8" s="18" t="n">
        <v>18</v>
      </c>
      <c r="U8" s="18" t="n">
        <v>19</v>
      </c>
      <c r="V8" s="18" t="n">
        <v>20</v>
      </c>
      <c r="W8" s="18" t="n">
        <v>21</v>
      </c>
      <c r="X8" s="18" t="n">
        <v>22</v>
      </c>
      <c r="Y8" s="18" t="n">
        <v>23</v>
      </c>
      <c r="Z8" s="18" t="n">
        <v>24</v>
      </c>
      <c r="AA8" s="18" t="n">
        <v>25</v>
      </c>
      <c r="AB8" s="18" t="n">
        <v>26</v>
      </c>
      <c r="AC8" s="18" t="n">
        <v>27</v>
      </c>
      <c r="AD8" s="18" t="n">
        <v>28</v>
      </c>
      <c r="AE8" s="18" t="n">
        <v>29</v>
      </c>
      <c r="AF8" s="18" t="n">
        <v>30</v>
      </c>
      <c r="AG8" s="18" t="n">
        <v>31</v>
      </c>
      <c r="AH8" s="18" t="n">
        <v>32</v>
      </c>
      <c r="AI8" s="18" t="n">
        <v>33</v>
      </c>
      <c r="AJ8" s="18" t="n">
        <v>34</v>
      </c>
      <c r="AK8" s="18" t="n">
        <v>35</v>
      </c>
      <c r="AL8" s="18" t="n">
        <v>36</v>
      </c>
    </row>
    <row r="9" customFormat="false" ht="15" hidden="false" customHeight="false" outlineLevel="0" collapsed="false">
      <c r="A9" s="19" t="s">
        <v>268</v>
      </c>
      <c r="C9" s="20" t="n">
        <f aca="false">ROUNDUP(C8/12,0)</f>
        <v>1</v>
      </c>
      <c r="D9" s="20" t="n">
        <f aca="false">ROUNDUP(D8/12,0)</f>
        <v>1</v>
      </c>
      <c r="E9" s="20" t="n">
        <f aca="false">ROUNDUP(E8/12,0)</f>
        <v>1</v>
      </c>
      <c r="F9" s="20" t="n">
        <f aca="false">ROUNDUP(F8/12,0)</f>
        <v>1</v>
      </c>
      <c r="G9" s="20" t="n">
        <f aca="false">ROUNDUP(G8/12,0)</f>
        <v>1</v>
      </c>
      <c r="H9" s="20" t="n">
        <f aca="false">ROUNDUP(H8/12,0)</f>
        <v>1</v>
      </c>
      <c r="I9" s="20" t="n">
        <f aca="false">ROUNDUP(I8/12,0)</f>
        <v>1</v>
      </c>
      <c r="J9" s="20" t="n">
        <f aca="false">ROUNDUP(J8/12,0)</f>
        <v>1</v>
      </c>
      <c r="K9" s="20" t="n">
        <f aca="false">ROUNDUP(K8/12,0)</f>
        <v>1</v>
      </c>
      <c r="L9" s="20" t="n">
        <f aca="false">ROUNDUP(L8/12,0)</f>
        <v>1</v>
      </c>
      <c r="M9" s="20" t="n">
        <f aca="false">ROUNDUP(M8/12,0)</f>
        <v>1</v>
      </c>
      <c r="N9" s="20" t="n">
        <f aca="false">ROUNDUP(N8/12,0)</f>
        <v>1</v>
      </c>
      <c r="O9" s="20" t="n">
        <f aca="false">ROUNDUP(O8/12,0)</f>
        <v>2</v>
      </c>
      <c r="P9" s="20" t="n">
        <f aca="false">ROUNDUP(P8/12,0)</f>
        <v>2</v>
      </c>
      <c r="Q9" s="20" t="n">
        <f aca="false">ROUNDUP(Q8/12,0)</f>
        <v>2</v>
      </c>
      <c r="R9" s="20" t="n">
        <f aca="false">ROUNDUP(R8/12,0)</f>
        <v>2</v>
      </c>
      <c r="S9" s="20" t="n">
        <f aca="false">ROUNDUP(S8/12,0)</f>
        <v>2</v>
      </c>
      <c r="T9" s="20" t="n">
        <f aca="false">ROUNDUP(T8/12,0)</f>
        <v>2</v>
      </c>
      <c r="U9" s="20" t="n">
        <f aca="false">ROUNDUP(U8/12,0)</f>
        <v>2</v>
      </c>
      <c r="V9" s="20" t="n">
        <f aca="false">ROUNDUP(V8/12,0)</f>
        <v>2</v>
      </c>
      <c r="W9" s="20" t="n">
        <f aca="false">ROUNDUP(W8/12,0)</f>
        <v>2</v>
      </c>
      <c r="X9" s="20" t="n">
        <f aca="false">ROUNDUP(X8/12,0)</f>
        <v>2</v>
      </c>
      <c r="Y9" s="20" t="n">
        <f aca="false">ROUNDUP(Y8/12,0)</f>
        <v>2</v>
      </c>
      <c r="Z9" s="20" t="n">
        <f aca="false">ROUNDUP(Z8/12,0)</f>
        <v>2</v>
      </c>
      <c r="AA9" s="20" t="n">
        <f aca="false">ROUNDUP(AA8/12,0)</f>
        <v>3</v>
      </c>
      <c r="AB9" s="20" t="n">
        <f aca="false">ROUNDUP(AB8/12,0)</f>
        <v>3</v>
      </c>
      <c r="AC9" s="20" t="n">
        <f aca="false">ROUNDUP(AC8/12,0)</f>
        <v>3</v>
      </c>
      <c r="AD9" s="20" t="n">
        <f aca="false">ROUNDUP(AD8/12,0)</f>
        <v>3</v>
      </c>
      <c r="AE9" s="20" t="n">
        <f aca="false">ROUNDUP(AE8/12,0)</f>
        <v>3</v>
      </c>
      <c r="AF9" s="20" t="n">
        <f aca="false">ROUNDUP(AF8/12,0)</f>
        <v>3</v>
      </c>
      <c r="AG9" s="20" t="n">
        <f aca="false">ROUNDUP(AG8/12,0)</f>
        <v>3</v>
      </c>
      <c r="AH9" s="20" t="n">
        <f aca="false">ROUNDUP(AH8/12,0)</f>
        <v>3</v>
      </c>
      <c r="AI9" s="20" t="n">
        <f aca="false">ROUNDUP(AI8/12,0)</f>
        <v>3</v>
      </c>
      <c r="AJ9" s="20" t="n">
        <f aca="false">ROUNDUP(AJ8/12,0)</f>
        <v>3</v>
      </c>
      <c r="AK9" s="20" t="n">
        <f aca="false">ROUNDUP(AK8/12,0)</f>
        <v>3</v>
      </c>
      <c r="AL9" s="20" t="n">
        <f aca="false">ROUNDUP(AL8/12,0)</f>
        <v>3</v>
      </c>
    </row>
    <row r="10" customFormat="false" ht="15" hidden="false" customHeight="false" outlineLevel="0" collapsed="false">
      <c r="A10" s="9" t="s">
        <v>198</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row>
    <row r="11" customFormat="false" ht="15" hidden="false" customHeight="false" outlineLevel="0" collapsed="false">
      <c r="A11" s="7" t="s">
        <v>55</v>
      </c>
      <c r="B11" s="7" t="s">
        <v>200</v>
      </c>
      <c r="C11" s="21" t="n">
        <f aca="false">Inputs!$C$13*(1+$B$3)^(C$8-1)</f>
        <v>200</v>
      </c>
      <c r="D11" s="21" t="n">
        <f aca="false">Inputs!$C$13*(1+$B$3)^(D$8-1)</f>
        <v>204</v>
      </c>
      <c r="E11" s="21" t="n">
        <f aca="false">Inputs!$C$13*(1+$B$3)^(E$8-1)</f>
        <v>208.08</v>
      </c>
      <c r="F11" s="21" t="n">
        <f aca="false">Inputs!$C$13*(1+$B$3)^(F$8-1)</f>
        <v>212.2416</v>
      </c>
      <c r="G11" s="21" t="n">
        <f aca="false">Inputs!$C$13*(1+$B$3)^(G$8-1)</f>
        <v>216.486432</v>
      </c>
      <c r="H11" s="21" t="n">
        <f aca="false">Inputs!$C$13*(1+$B$3)^(H$8-1)</f>
        <v>220.81616064</v>
      </c>
      <c r="I11" s="21" t="n">
        <f aca="false">Inputs!$C$13*(1+$B$3)^(I$8-1)</f>
        <v>225.2324838528</v>
      </c>
      <c r="J11" s="21" t="n">
        <f aca="false">Inputs!$C$13*(1+$B$3)^(J$8-1)</f>
        <v>229.737133529856</v>
      </c>
      <c r="K11" s="21" t="n">
        <f aca="false">Inputs!$C$13*(1+$B$3)^(K$8-1)</f>
        <v>234.331876200453</v>
      </c>
      <c r="L11" s="21" t="n">
        <f aca="false">Inputs!$C$13*(1+$B$3)^(L$8-1)</f>
        <v>239.018513724462</v>
      </c>
      <c r="M11" s="21" t="n">
        <f aca="false">Inputs!$C$13*(1+$B$3)^(M$8-1)</f>
        <v>243.798883998951</v>
      </c>
      <c r="N11" s="21" t="n">
        <f aca="false">Inputs!$C$13*(1+$B$3)^(N$8-1)</f>
        <v>248.67486167893</v>
      </c>
      <c r="O11" s="21" t="n">
        <f aca="false">Inputs!$C$13*(1+$B$3)^(O$8-1)</f>
        <v>253.648358912509</v>
      </c>
      <c r="P11" s="21" t="n">
        <f aca="false">Inputs!$C$13*(1+$B$3)^(P$8-1)</f>
        <v>258.721326090759</v>
      </c>
      <c r="Q11" s="21" t="n">
        <f aca="false">Inputs!$C$13*(1+$B$3)^(Q$8-1)</f>
        <v>263.895752612575</v>
      </c>
      <c r="R11" s="21" t="n">
        <f aca="false">Inputs!$C$13*(1+$B$3)^(R$8-1)</f>
        <v>269.173667664826</v>
      </c>
      <c r="S11" s="21" t="n">
        <f aca="false">Inputs!$C$13*(1+$B$3)^(S$8-1)</f>
        <v>274.557141018123</v>
      </c>
      <c r="T11" s="21" t="n">
        <f aca="false">Inputs!$C$13*(1+$B$3)^(T$8-1)</f>
        <v>280.048283838485</v>
      </c>
      <c r="U11" s="21" t="n">
        <f aca="false">Inputs!$C$13*(1+$B$3)^(U$8-1)</f>
        <v>285.649249515255</v>
      </c>
      <c r="V11" s="21" t="n">
        <f aca="false">Inputs!$C$13*(1+$B$3)^(V$8-1)</f>
        <v>291.36223450556</v>
      </c>
      <c r="W11" s="21" t="n">
        <f aca="false">Inputs!$C$13*(1+$B$3)^(W$8-1)</f>
        <v>297.189479195671</v>
      </c>
      <c r="X11" s="21" t="n">
        <f aca="false">Inputs!$C$13*(1+$B$3)^(X$8-1)</f>
        <v>303.133268779584</v>
      </c>
      <c r="Y11" s="21" t="n">
        <f aca="false">Inputs!$C$13*(1+$B$3)^(Y$8-1)</f>
        <v>309.195934155176</v>
      </c>
      <c r="Z11" s="21" t="n">
        <f aca="false">Inputs!$C$13*(1+$B$3)^(Z$8-1)</f>
        <v>315.37985283828</v>
      </c>
      <c r="AA11" s="21" t="n">
        <f aca="false">Inputs!$C$13*(1+$B$3)^(AA$8-1)</f>
        <v>321.687449895045</v>
      </c>
      <c r="AB11" s="21" t="n">
        <f aca="false">Inputs!$C$13*(1+$B$3)^(AB$8-1)</f>
        <v>328.121198892946</v>
      </c>
      <c r="AC11" s="21" t="n">
        <f aca="false">Inputs!$C$13*(1+$B$3)^(AC$8-1)</f>
        <v>334.683622870805</v>
      </c>
      <c r="AD11" s="21" t="n">
        <f aca="false">Inputs!$C$13*(1+$B$3)^(AD$8-1)</f>
        <v>341.377295328221</v>
      </c>
      <c r="AE11" s="21" t="n">
        <f aca="false">Inputs!$C$13*(1+$B$3)^(AE$8-1)</f>
        <v>348.204841234786</v>
      </c>
      <c r="AF11" s="21" t="n">
        <f aca="false">Inputs!$C$13*(1+$B$3)^(AF$8-1)</f>
        <v>355.168938059481</v>
      </c>
      <c r="AG11" s="21" t="n">
        <f aca="false">Inputs!$C$13*(1+$B$3)^(AG$8-1)</f>
        <v>362.272316820671</v>
      </c>
      <c r="AH11" s="21" t="n">
        <f aca="false">Inputs!$C$13*(1+$B$3)^(AH$8-1)</f>
        <v>369.517763157084</v>
      </c>
      <c r="AI11" s="21" t="n">
        <f aca="false">Inputs!$C$13*(1+$B$3)^(AI$8-1)</f>
        <v>376.908118420226</v>
      </c>
      <c r="AJ11" s="21" t="n">
        <f aca="false">Inputs!$C$13*(1+$B$3)^(AJ$8-1)</f>
        <v>384.446280788631</v>
      </c>
      <c r="AK11" s="21" t="n">
        <f aca="false">Inputs!$C$13*(1+$B$3)^(AK$8-1)</f>
        <v>392.135206404403</v>
      </c>
      <c r="AL11" s="21" t="n">
        <f aca="false">Inputs!$C$13*(1+$B$3)^(AL$8-1)</f>
        <v>399.977910532491</v>
      </c>
    </row>
    <row r="12" customFormat="false" ht="15" hidden="false" customHeight="false" outlineLevel="0" collapsed="false">
      <c r="A12" s="7" t="s">
        <v>58</v>
      </c>
      <c r="B12" s="7" t="s">
        <v>200</v>
      </c>
      <c r="C12" s="21" t="n">
        <f aca="false">Inputs!$C$14*(1+$B$4)^(C$8-1)</f>
        <v>2000</v>
      </c>
      <c r="D12" s="21" t="n">
        <f aca="false">Inputs!$C$14*(1+$B$4)^(D$8-1)</f>
        <v>2010</v>
      </c>
      <c r="E12" s="21" t="n">
        <f aca="false">Inputs!$C$14*(1+$B$4)^(E$8-1)</f>
        <v>2020.05</v>
      </c>
      <c r="F12" s="21" t="n">
        <f aca="false">Inputs!$C$14*(1+$B$4)^(F$8-1)</f>
        <v>2030.15025</v>
      </c>
      <c r="G12" s="21" t="n">
        <f aca="false">Inputs!$C$14*(1+$B$4)^(G$8-1)</f>
        <v>2040.30100125</v>
      </c>
      <c r="H12" s="21" t="n">
        <f aca="false">Inputs!$C$14*(1+$B$4)^(H$8-1)</f>
        <v>2050.50250625625</v>
      </c>
      <c r="I12" s="21" t="n">
        <f aca="false">Inputs!$C$14*(1+$B$4)^(I$8-1)</f>
        <v>2060.75501878753</v>
      </c>
      <c r="J12" s="21" t="n">
        <f aca="false">Inputs!$C$14*(1+$B$4)^(J$8-1)</f>
        <v>2071.05879388147</v>
      </c>
      <c r="K12" s="21" t="n">
        <f aca="false">Inputs!$C$14*(1+$B$4)^(K$8-1)</f>
        <v>2081.41408785087</v>
      </c>
      <c r="L12" s="21" t="n">
        <f aca="false">Inputs!$C$14*(1+$B$4)^(L$8-1)</f>
        <v>2091.82115829013</v>
      </c>
      <c r="M12" s="21" t="n">
        <f aca="false">Inputs!$C$14*(1+$B$4)^(M$8-1)</f>
        <v>2102.28026408158</v>
      </c>
      <c r="N12" s="21" t="n">
        <f aca="false">Inputs!$C$14*(1+$B$4)^(N$8-1)</f>
        <v>2112.79166540199</v>
      </c>
      <c r="O12" s="21" t="n">
        <f aca="false">Inputs!$C$14*(1+$B$4)^(O$8-1)</f>
        <v>2123.355623729</v>
      </c>
      <c r="P12" s="21" t="n">
        <f aca="false">Inputs!$C$14*(1+$B$4)^(P$8-1)</f>
        <v>2133.97240184764</v>
      </c>
      <c r="Q12" s="21" t="n">
        <f aca="false">Inputs!$C$14*(1+$B$4)^(Q$8-1)</f>
        <v>2144.64226385688</v>
      </c>
      <c r="R12" s="21" t="n">
        <f aca="false">Inputs!$C$14*(1+$B$4)^(R$8-1)</f>
        <v>2155.36547517616</v>
      </c>
      <c r="S12" s="21" t="n">
        <f aca="false">Inputs!$C$14*(1+$B$4)^(S$8-1)</f>
        <v>2166.14230255204</v>
      </c>
      <c r="T12" s="21" t="n">
        <f aca="false">Inputs!$C$14*(1+$B$4)^(T$8-1)</f>
        <v>2176.9730140648</v>
      </c>
      <c r="U12" s="21" t="n">
        <f aca="false">Inputs!$C$14*(1+$B$4)^(U$8-1)</f>
        <v>2187.85787913513</v>
      </c>
      <c r="V12" s="21" t="n">
        <f aca="false">Inputs!$C$14*(1+$B$4)^(V$8-1)</f>
        <v>2198.7971685308</v>
      </c>
      <c r="W12" s="21" t="n">
        <f aca="false">Inputs!$C$14*(1+$B$4)^(W$8-1)</f>
        <v>2209.79115437346</v>
      </c>
      <c r="X12" s="21" t="n">
        <f aca="false">Inputs!$C$14*(1+$B$4)^(X$8-1)</f>
        <v>2220.84011014532</v>
      </c>
      <c r="Y12" s="21" t="n">
        <f aca="false">Inputs!$C$14*(1+$B$4)^(Y$8-1)</f>
        <v>2231.94431069605</v>
      </c>
      <c r="Z12" s="21" t="n">
        <f aca="false">Inputs!$C$14*(1+$B$4)^(Z$8-1)</f>
        <v>2243.10403224953</v>
      </c>
      <c r="AA12" s="21" t="n">
        <f aca="false">Inputs!$C$14*(1+$B$4)^(AA$8-1)</f>
        <v>2254.31955241078</v>
      </c>
      <c r="AB12" s="21" t="n">
        <f aca="false">Inputs!$C$14*(1+$B$4)^(AB$8-1)</f>
        <v>2265.59115017283</v>
      </c>
      <c r="AC12" s="21" t="n">
        <f aca="false">Inputs!$C$14*(1+$B$4)^(AC$8-1)</f>
        <v>2276.9191059237</v>
      </c>
      <c r="AD12" s="21" t="n">
        <f aca="false">Inputs!$C$14*(1+$B$4)^(AD$8-1)</f>
        <v>2288.30370145331</v>
      </c>
      <c r="AE12" s="21" t="n">
        <f aca="false">Inputs!$C$14*(1+$B$4)^(AE$8-1)</f>
        <v>2299.74521996058</v>
      </c>
      <c r="AF12" s="21" t="n">
        <f aca="false">Inputs!$C$14*(1+$B$4)^(AF$8-1)</f>
        <v>2311.24394606038</v>
      </c>
      <c r="AG12" s="21" t="n">
        <f aca="false">Inputs!$C$14*(1+$B$4)^(AG$8-1)</f>
        <v>2322.80016579068</v>
      </c>
      <c r="AH12" s="21" t="n">
        <f aca="false">Inputs!$C$14*(1+$B$4)^(AH$8-1)</f>
        <v>2334.41416661964</v>
      </c>
      <c r="AI12" s="21" t="n">
        <f aca="false">Inputs!$C$14*(1+$B$4)^(AI$8-1)</f>
        <v>2346.08623745274</v>
      </c>
      <c r="AJ12" s="21" t="n">
        <f aca="false">Inputs!$C$14*(1+$B$4)^(AJ$8-1)</f>
        <v>2357.81666864</v>
      </c>
      <c r="AK12" s="21" t="n">
        <f aca="false">Inputs!$C$14*(1+$B$4)^(AK$8-1)</f>
        <v>2369.6057519832</v>
      </c>
      <c r="AL12" s="21" t="n">
        <f aca="false">Inputs!$C$14*(1+$B$4)^(AL$8-1)</f>
        <v>2381.45378074311</v>
      </c>
    </row>
    <row r="13" customFormat="false" ht="15" hidden="false" customHeight="false" outlineLevel="0" collapsed="false">
      <c r="A13" s="7" t="s">
        <v>61</v>
      </c>
      <c r="B13" s="7" t="s">
        <v>200</v>
      </c>
      <c r="C13" s="21" t="n">
        <f aca="false">C11*C12</f>
        <v>400000</v>
      </c>
      <c r="D13" s="21" t="n">
        <f aca="false">D11*D12</f>
        <v>410040</v>
      </c>
      <c r="E13" s="21" t="n">
        <f aca="false">E11*E12</f>
        <v>420332.004</v>
      </c>
      <c r="F13" s="21" t="n">
        <f aca="false">F11*F12</f>
        <v>430882.3373004</v>
      </c>
      <c r="G13" s="21" t="n">
        <f aca="false">G11*G12</f>
        <v>441697.48396664</v>
      </c>
      <c r="H13" s="21" t="n">
        <f aca="false">H11*H12</f>
        <v>452784.090814202</v>
      </c>
      <c r="I13" s="21" t="n">
        <f aca="false">I11*I12</f>
        <v>464148.971493639</v>
      </c>
      <c r="J13" s="21" t="n">
        <f aca="false">J11*J12</f>
        <v>475799.110678129</v>
      </c>
      <c r="K13" s="21" t="n">
        <f aca="false">K11*K12</f>
        <v>487741.66835615</v>
      </c>
      <c r="L13" s="21" t="n">
        <f aca="false">L11*L12</f>
        <v>499983.98423189</v>
      </c>
      <c r="M13" s="21" t="n">
        <f aca="false">M11*M12</f>
        <v>512533.58223611</v>
      </c>
      <c r="N13" s="21" t="n">
        <f aca="false">N11*N12</f>
        <v>525398.175150236</v>
      </c>
      <c r="O13" s="21" t="n">
        <f aca="false">O11*O12</f>
        <v>538585.669346507</v>
      </c>
      <c r="P13" s="21" t="n">
        <f aca="false">P11*P12</f>
        <v>552104.169647105</v>
      </c>
      <c r="Q13" s="21" t="n">
        <f aca="false">Q11*Q12</f>
        <v>565961.984305247</v>
      </c>
      <c r="R13" s="21" t="n">
        <f aca="false">R11*R12</f>
        <v>580167.630111308</v>
      </c>
      <c r="S13" s="21" t="n">
        <f aca="false">S11*S12</f>
        <v>594729.837627102</v>
      </c>
      <c r="T13" s="21" t="n">
        <f aca="false">T11*T12</f>
        <v>609657.556551542</v>
      </c>
      <c r="U13" s="21" t="n">
        <f aca="false">U11*U12</f>
        <v>624959.961220986</v>
      </c>
      <c r="V13" s="21" t="n">
        <f aca="false">V11*V12</f>
        <v>640646.456247633</v>
      </c>
      <c r="W13" s="21" t="n">
        <f aca="false">W11*W12</f>
        <v>656726.682299448</v>
      </c>
      <c r="X13" s="21" t="n">
        <f aca="false">X11*X12</f>
        <v>673210.522025164</v>
      </c>
      <c r="Y13" s="21" t="n">
        <f aca="false">Y11*Y12</f>
        <v>690108.106127996</v>
      </c>
      <c r="Z13" s="21" t="n">
        <f aca="false">Z11*Z12</f>
        <v>707429.819591809</v>
      </c>
      <c r="AA13" s="21" t="n">
        <f aca="false">AA11*AA12</f>
        <v>725186.308063563</v>
      </c>
      <c r="AB13" s="21" t="n">
        <f aca="false">AB11*AB12</f>
        <v>743388.484395958</v>
      </c>
      <c r="AC13" s="21" t="n">
        <f aca="false">AC11*AC12</f>
        <v>762047.535354297</v>
      </c>
      <c r="AD13" s="21" t="n">
        <f aca="false">AD11*AD12</f>
        <v>781174.92849169</v>
      </c>
      <c r="AE13" s="21" t="n">
        <f aca="false">AE11*AE12</f>
        <v>800782.419196831</v>
      </c>
      <c r="AF13" s="21" t="n">
        <f aca="false">AF11*AF12</f>
        <v>820882.057918671</v>
      </c>
      <c r="AG13" s="21" t="n">
        <f aca="false">AG11*AG12</f>
        <v>841486.19757243</v>
      </c>
      <c r="AH13" s="21" t="n">
        <f aca="false">AH11*AH12</f>
        <v>862607.501131498</v>
      </c>
      <c r="AI13" s="21" t="n">
        <f aca="false">AI11*AI12</f>
        <v>884258.949409898</v>
      </c>
      <c r="AJ13" s="21" t="n">
        <f aca="false">AJ11*AJ12</f>
        <v>906453.849040087</v>
      </c>
      <c r="AK13" s="21" t="n">
        <f aca="false">AK11*AK12</f>
        <v>929205.840650993</v>
      </c>
      <c r="AL13" s="21" t="n">
        <f aca="false">AL11*AL12</f>
        <v>952528.907251333</v>
      </c>
    </row>
    <row r="14" customFormat="false" ht="15" hidden="false" customHeight="false" outlineLevel="0" collapsed="false">
      <c r="A14" s="7" t="s">
        <v>269</v>
      </c>
      <c r="B14" s="7" t="s">
        <v>205</v>
      </c>
      <c r="C14" s="21" t="n">
        <f aca="false">Inputs!$C$15</f>
        <v>4000</v>
      </c>
      <c r="D14" s="21" t="n">
        <f aca="false">Inputs!$C$15</f>
        <v>4000</v>
      </c>
      <c r="E14" s="21" t="n">
        <f aca="false">Inputs!$C$15</f>
        <v>4000</v>
      </c>
      <c r="F14" s="21" t="n">
        <f aca="false">Inputs!$C$15</f>
        <v>4000</v>
      </c>
      <c r="G14" s="21" t="n">
        <f aca="false">Inputs!$C$15</f>
        <v>4000</v>
      </c>
      <c r="H14" s="21" t="n">
        <f aca="false">Inputs!$C$15</f>
        <v>4000</v>
      </c>
      <c r="I14" s="21" t="n">
        <f aca="false">Inputs!$C$15</f>
        <v>4000</v>
      </c>
      <c r="J14" s="21" t="n">
        <f aca="false">Inputs!$C$15</f>
        <v>4000</v>
      </c>
      <c r="K14" s="21" t="n">
        <f aca="false">Inputs!$C$15</f>
        <v>4000</v>
      </c>
      <c r="L14" s="21" t="n">
        <f aca="false">Inputs!$C$15</f>
        <v>4000</v>
      </c>
      <c r="M14" s="21" t="n">
        <f aca="false">Inputs!$C$15</f>
        <v>4000</v>
      </c>
      <c r="N14" s="21" t="n">
        <f aca="false">Inputs!$C$15</f>
        <v>4000</v>
      </c>
      <c r="O14" s="21" t="n">
        <f aca="false">Inputs!$C$15</f>
        <v>4000</v>
      </c>
      <c r="P14" s="21" t="n">
        <f aca="false">Inputs!$C$15</f>
        <v>4000</v>
      </c>
      <c r="Q14" s="21" t="n">
        <f aca="false">Inputs!$C$15</f>
        <v>4000</v>
      </c>
      <c r="R14" s="21" t="n">
        <f aca="false">Inputs!$C$15</f>
        <v>4000</v>
      </c>
      <c r="S14" s="21" t="n">
        <f aca="false">Inputs!$C$15</f>
        <v>4000</v>
      </c>
      <c r="T14" s="21" t="n">
        <f aca="false">Inputs!$C$15</f>
        <v>4000</v>
      </c>
      <c r="U14" s="21" t="n">
        <f aca="false">Inputs!$C$15</f>
        <v>4000</v>
      </c>
      <c r="V14" s="21" t="n">
        <f aca="false">Inputs!$C$15</f>
        <v>4000</v>
      </c>
      <c r="W14" s="21" t="n">
        <f aca="false">Inputs!$C$15</f>
        <v>4000</v>
      </c>
      <c r="X14" s="21" t="n">
        <f aca="false">Inputs!$C$15</f>
        <v>4000</v>
      </c>
      <c r="Y14" s="21" t="n">
        <f aca="false">Inputs!$C$15</f>
        <v>4000</v>
      </c>
      <c r="Z14" s="21" t="n">
        <f aca="false">Inputs!$C$15</f>
        <v>4000</v>
      </c>
      <c r="AA14" s="21" t="n">
        <f aca="false">Inputs!$C$15</f>
        <v>4000</v>
      </c>
      <c r="AB14" s="21" t="n">
        <f aca="false">Inputs!$C$15</f>
        <v>4000</v>
      </c>
      <c r="AC14" s="21" t="n">
        <f aca="false">Inputs!$C$15</f>
        <v>4000</v>
      </c>
      <c r="AD14" s="21" t="n">
        <f aca="false">Inputs!$C$15</f>
        <v>4000</v>
      </c>
      <c r="AE14" s="21" t="n">
        <f aca="false">Inputs!$C$15</f>
        <v>4000</v>
      </c>
      <c r="AF14" s="21" t="n">
        <f aca="false">Inputs!$C$15</f>
        <v>4000</v>
      </c>
      <c r="AG14" s="21" t="n">
        <f aca="false">Inputs!$C$15</f>
        <v>4000</v>
      </c>
      <c r="AH14" s="21" t="n">
        <f aca="false">Inputs!$C$15</f>
        <v>4000</v>
      </c>
      <c r="AI14" s="21" t="n">
        <f aca="false">Inputs!$C$15</f>
        <v>4000</v>
      </c>
      <c r="AJ14" s="21" t="n">
        <f aca="false">Inputs!$C$15</f>
        <v>4000</v>
      </c>
      <c r="AK14" s="21" t="n">
        <f aca="false">Inputs!$C$15</f>
        <v>4000</v>
      </c>
      <c r="AL14" s="21" t="n">
        <f aca="false">Inputs!$C$15</f>
        <v>4000</v>
      </c>
    </row>
    <row r="15" customFormat="false" ht="15" hidden="false" customHeight="false" outlineLevel="0" collapsed="false">
      <c r="A15" s="7" t="s">
        <v>64</v>
      </c>
      <c r="B15" s="7" t="s">
        <v>270</v>
      </c>
      <c r="C15" s="21" t="n">
        <f aca="false">C13*C14/1000</f>
        <v>1600000</v>
      </c>
      <c r="D15" s="21" t="n">
        <f aca="false">D13*D14/1000</f>
        <v>1640160</v>
      </c>
      <c r="E15" s="21" t="n">
        <f aca="false">E13*E14/1000</f>
        <v>1681328.016</v>
      </c>
      <c r="F15" s="21" t="n">
        <f aca="false">F13*F14/1000</f>
        <v>1723529.3492016</v>
      </c>
      <c r="G15" s="21" t="n">
        <f aca="false">G13*G14/1000</f>
        <v>1766789.93586656</v>
      </c>
      <c r="H15" s="21" t="n">
        <f aca="false">H13*H14/1000</f>
        <v>1811136.36325681</v>
      </c>
      <c r="I15" s="21" t="n">
        <f aca="false">I13*I14/1000</f>
        <v>1856595.88597456</v>
      </c>
      <c r="J15" s="21" t="n">
        <f aca="false">J13*J14/1000</f>
        <v>1903196.44271252</v>
      </c>
      <c r="K15" s="21" t="n">
        <f aca="false">K13*K14/1000</f>
        <v>1950966.6734246</v>
      </c>
      <c r="L15" s="21" t="n">
        <f aca="false">L13*L14/1000</f>
        <v>1999935.93692756</v>
      </c>
      <c r="M15" s="21" t="n">
        <f aca="false">M13*M14/1000</f>
        <v>2050134.32894444</v>
      </c>
      <c r="N15" s="21" t="n">
        <f aca="false">N13*N14/1000</f>
        <v>2101592.70060095</v>
      </c>
      <c r="O15" s="21" t="n">
        <f aca="false">O13*O14/1000</f>
        <v>2154342.67738603</v>
      </c>
      <c r="P15" s="21" t="n">
        <f aca="false">P13*P14/1000</f>
        <v>2208416.67858842</v>
      </c>
      <c r="Q15" s="21" t="n">
        <f aca="false">Q13*Q14/1000</f>
        <v>2263847.93722099</v>
      </c>
      <c r="R15" s="21" t="n">
        <f aca="false">R13*R14/1000</f>
        <v>2320670.52044523</v>
      </c>
      <c r="S15" s="21" t="n">
        <f aca="false">S13*S14/1000</f>
        <v>2378919.35050841</v>
      </c>
      <c r="T15" s="21" t="n">
        <f aca="false">T13*T14/1000</f>
        <v>2438630.22620617</v>
      </c>
      <c r="U15" s="21" t="n">
        <f aca="false">U13*U14/1000</f>
        <v>2499839.84488394</v>
      </c>
      <c r="V15" s="21" t="n">
        <f aca="false">V13*V14/1000</f>
        <v>2562585.82499053</v>
      </c>
      <c r="W15" s="21" t="n">
        <f aca="false">W13*W14/1000</f>
        <v>2626906.72919779</v>
      </c>
      <c r="X15" s="21" t="n">
        <f aca="false">X13*X14/1000</f>
        <v>2692842.08810066</v>
      </c>
      <c r="Y15" s="21" t="n">
        <f aca="false">Y13*Y14/1000</f>
        <v>2760432.42451198</v>
      </c>
      <c r="Z15" s="21" t="n">
        <f aca="false">Z13*Z14/1000</f>
        <v>2829719.27836723</v>
      </c>
      <c r="AA15" s="21" t="n">
        <f aca="false">AA13*AA14/1000</f>
        <v>2900745.23225425</v>
      </c>
      <c r="AB15" s="21" t="n">
        <f aca="false">AB13*AB14/1000</f>
        <v>2973553.93758383</v>
      </c>
      <c r="AC15" s="21" t="n">
        <f aca="false">AC13*AC14/1000</f>
        <v>3048190.14141719</v>
      </c>
      <c r="AD15" s="21" t="n">
        <f aca="false">AD13*AD14/1000</f>
        <v>3124699.71396676</v>
      </c>
      <c r="AE15" s="21" t="n">
        <f aca="false">AE13*AE14/1000</f>
        <v>3203129.67678732</v>
      </c>
      <c r="AF15" s="21" t="n">
        <f aca="false">AF13*AF14/1000</f>
        <v>3283528.23167469</v>
      </c>
      <c r="AG15" s="21" t="n">
        <f aca="false">AG13*AG14/1000</f>
        <v>3365944.79028972</v>
      </c>
      <c r="AH15" s="21" t="n">
        <f aca="false">AH13*AH14/1000</f>
        <v>3450430.00452599</v>
      </c>
      <c r="AI15" s="21" t="n">
        <f aca="false">AI13*AI14/1000</f>
        <v>3537035.79763959</v>
      </c>
      <c r="AJ15" s="21" t="n">
        <f aca="false">AJ13*AJ14/1000</f>
        <v>3625815.39616035</v>
      </c>
      <c r="AK15" s="21" t="n">
        <f aca="false">AK13*AK14/1000</f>
        <v>3716823.36260397</v>
      </c>
      <c r="AL15" s="21" t="n">
        <f aca="false">AL13*AL14/1000</f>
        <v>3810115.62900533</v>
      </c>
    </row>
    <row r="16" customFormat="false" ht="15" hidden="false" customHeight="false" outlineLevel="0" collapsed="false">
      <c r="A16" s="9" t="s">
        <v>271</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row>
    <row r="17" customFormat="false" ht="15" hidden="false" customHeight="false" outlineLevel="0" collapsed="false">
      <c r="A17" s="7" t="s">
        <v>272</v>
      </c>
      <c r="B17" s="7" t="s">
        <v>270</v>
      </c>
      <c r="C17" s="21" t="n">
        <f aca="false">C15*(1-Inputs!$C$18)</f>
        <v>960000</v>
      </c>
      <c r="D17" s="21" t="n">
        <f aca="false">D15*(1-Inputs!$C$18)</f>
        <v>984096</v>
      </c>
      <c r="E17" s="21" t="n">
        <f aca="false">E15*(1-Inputs!$C$18)</f>
        <v>1008796.8096</v>
      </c>
      <c r="F17" s="21" t="n">
        <f aca="false">F15*(1-Inputs!$C$18)</f>
        <v>1034117.60952096</v>
      </c>
      <c r="G17" s="21" t="n">
        <f aca="false">G15*(1-Inputs!$C$18)</f>
        <v>1060073.96151994</v>
      </c>
      <c r="H17" s="21" t="n">
        <f aca="false">H15*(1-Inputs!$C$18)</f>
        <v>1086681.81795409</v>
      </c>
      <c r="I17" s="21" t="n">
        <f aca="false">I15*(1-Inputs!$C$18)</f>
        <v>1113957.53158473</v>
      </c>
      <c r="J17" s="21" t="n">
        <f aca="false">J15*(1-Inputs!$C$18)</f>
        <v>1141917.86562751</v>
      </c>
      <c r="K17" s="21" t="n">
        <f aca="false">K15*(1-Inputs!$C$18)</f>
        <v>1170580.00405476</v>
      </c>
      <c r="L17" s="21" t="n">
        <f aca="false">L15*(1-Inputs!$C$18)</f>
        <v>1199961.56215653</v>
      </c>
      <c r="M17" s="21" t="n">
        <f aca="false">M15*(1-Inputs!$C$18)</f>
        <v>1230080.59736666</v>
      </c>
      <c r="N17" s="21" t="n">
        <f aca="false">N15*(1-Inputs!$C$18)</f>
        <v>1260955.62036057</v>
      </c>
      <c r="O17" s="21" t="n">
        <f aca="false">O15*(1-Inputs!$C$18)</f>
        <v>1292605.60643162</v>
      </c>
      <c r="P17" s="21" t="n">
        <f aca="false">P15*(1-Inputs!$C$18)</f>
        <v>1325050.00715305</v>
      </c>
      <c r="Q17" s="21" t="n">
        <f aca="false">Q15*(1-Inputs!$C$18)</f>
        <v>1358308.76233259</v>
      </c>
      <c r="R17" s="21" t="n">
        <f aca="false">R15*(1-Inputs!$C$18)</f>
        <v>1392402.31226714</v>
      </c>
      <c r="S17" s="21" t="n">
        <f aca="false">S15*(1-Inputs!$C$18)</f>
        <v>1427351.61030504</v>
      </c>
      <c r="T17" s="21" t="n">
        <f aca="false">T15*(1-Inputs!$C$18)</f>
        <v>1463178.1357237</v>
      </c>
      <c r="U17" s="21" t="n">
        <f aca="false">U15*(1-Inputs!$C$18)</f>
        <v>1499903.90693037</v>
      </c>
      <c r="V17" s="21" t="n">
        <f aca="false">V15*(1-Inputs!$C$18)</f>
        <v>1537551.49499432</v>
      </c>
      <c r="W17" s="21" t="n">
        <f aca="false">W15*(1-Inputs!$C$18)</f>
        <v>1576144.03751868</v>
      </c>
      <c r="X17" s="21" t="n">
        <f aca="false">X15*(1-Inputs!$C$18)</f>
        <v>1615705.25286039</v>
      </c>
      <c r="Y17" s="21" t="n">
        <f aca="false">Y15*(1-Inputs!$C$18)</f>
        <v>1656259.45470719</v>
      </c>
      <c r="Z17" s="21" t="n">
        <f aca="false">Z15*(1-Inputs!$C$18)</f>
        <v>1697831.56702034</v>
      </c>
      <c r="AA17" s="21" t="n">
        <f aca="false">AA15*(1-Inputs!$C$18)</f>
        <v>1740447.13935255</v>
      </c>
      <c r="AB17" s="21" t="n">
        <f aca="false">AB15*(1-Inputs!$C$18)</f>
        <v>1784132.3625503</v>
      </c>
      <c r="AC17" s="21" t="n">
        <f aca="false">AC15*(1-Inputs!$C$18)</f>
        <v>1828914.08485031</v>
      </c>
      <c r="AD17" s="21" t="n">
        <f aca="false">AD15*(1-Inputs!$C$18)</f>
        <v>1874819.82838006</v>
      </c>
      <c r="AE17" s="21" t="n">
        <f aca="false">AE15*(1-Inputs!$C$18)</f>
        <v>1921877.80607239</v>
      </c>
      <c r="AF17" s="21" t="n">
        <f aca="false">AF15*(1-Inputs!$C$18)</f>
        <v>1970116.93900481</v>
      </c>
      <c r="AG17" s="21" t="n">
        <f aca="false">AG15*(1-Inputs!$C$18)</f>
        <v>2019566.87417383</v>
      </c>
      <c r="AH17" s="21" t="n">
        <f aca="false">AH15*(1-Inputs!$C$18)</f>
        <v>2070258.00271559</v>
      </c>
      <c r="AI17" s="21" t="n">
        <f aca="false">AI15*(1-Inputs!$C$18)</f>
        <v>2122221.47858376</v>
      </c>
      <c r="AJ17" s="21" t="n">
        <f aca="false">AJ15*(1-Inputs!$C$18)</f>
        <v>2175489.23769621</v>
      </c>
      <c r="AK17" s="21" t="n">
        <f aca="false">AK15*(1-Inputs!$C$18)</f>
        <v>2230094.01756238</v>
      </c>
      <c r="AL17" s="21" t="n">
        <f aca="false">AL15*(1-Inputs!$C$18)</f>
        <v>2286069.3774032</v>
      </c>
    </row>
    <row r="18" customFormat="false" ht="15" hidden="false" customHeight="false" outlineLevel="0" collapsed="false">
      <c r="A18" s="7" t="s">
        <v>273</v>
      </c>
      <c r="B18" s="7" t="s">
        <v>270</v>
      </c>
      <c r="C18" s="21" t="n">
        <f aca="false">C15*Inputs!$C$18</f>
        <v>640000</v>
      </c>
      <c r="D18" s="21" t="n">
        <f aca="false">D15*Inputs!$C$18</f>
        <v>656064</v>
      </c>
      <c r="E18" s="21" t="n">
        <f aca="false">E15*Inputs!$C$18</f>
        <v>672531.2064</v>
      </c>
      <c r="F18" s="21" t="n">
        <f aca="false">F15*Inputs!$C$18</f>
        <v>689411.73968064</v>
      </c>
      <c r="G18" s="21" t="n">
        <f aca="false">G15*Inputs!$C$18</f>
        <v>706715.974346624</v>
      </c>
      <c r="H18" s="21" t="n">
        <f aca="false">H15*Inputs!$C$18</f>
        <v>724454.545302724</v>
      </c>
      <c r="I18" s="21" t="n">
        <f aca="false">I15*Inputs!$C$18</f>
        <v>742638.354389822</v>
      </c>
      <c r="J18" s="21" t="n">
        <f aca="false">J15*Inputs!$C$18</f>
        <v>761278.577085007</v>
      </c>
      <c r="K18" s="21" t="n">
        <f aca="false">K15*Inputs!$C$18</f>
        <v>780386.669369841</v>
      </c>
      <c r="L18" s="21" t="n">
        <f aca="false">L15*Inputs!$C$18</f>
        <v>799974.374771023</v>
      </c>
      <c r="M18" s="21" t="n">
        <f aca="false">M15*Inputs!$C$18</f>
        <v>820053.731577776</v>
      </c>
      <c r="N18" s="21" t="n">
        <f aca="false">N15*Inputs!$C$18</f>
        <v>840637.080240378</v>
      </c>
      <c r="O18" s="21" t="n">
        <f aca="false">O15*Inputs!$C$18</f>
        <v>861737.070954412</v>
      </c>
      <c r="P18" s="21" t="n">
        <f aca="false">P15*Inputs!$C$18</f>
        <v>883366.671435367</v>
      </c>
      <c r="Q18" s="21" t="n">
        <f aca="false">Q15*Inputs!$C$18</f>
        <v>905539.174888395</v>
      </c>
      <c r="R18" s="21" t="n">
        <f aca="false">R15*Inputs!$C$18</f>
        <v>928268.208178094</v>
      </c>
      <c r="S18" s="21" t="n">
        <f aca="false">S15*Inputs!$C$18</f>
        <v>951567.740203363</v>
      </c>
      <c r="T18" s="21" t="n">
        <f aca="false">T15*Inputs!$C$18</f>
        <v>975452.090482468</v>
      </c>
      <c r="U18" s="21" t="n">
        <f aca="false">U15*Inputs!$C$18</f>
        <v>999935.937953577</v>
      </c>
      <c r="V18" s="21" t="n">
        <f aca="false">V15*Inputs!$C$18</f>
        <v>1025034.32999621</v>
      </c>
      <c r="W18" s="21" t="n">
        <f aca="false">W15*Inputs!$C$18</f>
        <v>1050762.69167912</v>
      </c>
      <c r="X18" s="21" t="n">
        <f aca="false">X15*Inputs!$C$18</f>
        <v>1077136.83524026</v>
      </c>
      <c r="Y18" s="21" t="n">
        <f aca="false">Y15*Inputs!$C$18</f>
        <v>1104172.96980479</v>
      </c>
      <c r="Z18" s="21" t="n">
        <f aca="false">Z15*Inputs!$C$18</f>
        <v>1131887.71134689</v>
      </c>
      <c r="AA18" s="21" t="n">
        <f aca="false">AA15*Inputs!$C$18</f>
        <v>1160298.0929017</v>
      </c>
      <c r="AB18" s="21" t="n">
        <f aca="false">AB15*Inputs!$C$18</f>
        <v>1189421.57503353</v>
      </c>
      <c r="AC18" s="21" t="n">
        <f aca="false">AC15*Inputs!$C$18</f>
        <v>1219276.05656687</v>
      </c>
      <c r="AD18" s="21" t="n">
        <f aca="false">AD15*Inputs!$C$18</f>
        <v>1249879.8855867</v>
      </c>
      <c r="AE18" s="21" t="n">
        <f aca="false">AE15*Inputs!$C$18</f>
        <v>1281251.87071493</v>
      </c>
      <c r="AF18" s="21" t="n">
        <f aca="false">AF15*Inputs!$C$18</f>
        <v>1313411.29266987</v>
      </c>
      <c r="AG18" s="21" t="n">
        <f aca="false">AG15*Inputs!$C$18</f>
        <v>1346377.91611589</v>
      </c>
      <c r="AH18" s="21" t="n">
        <f aca="false">AH15*Inputs!$C$18</f>
        <v>1380172.0018104</v>
      </c>
      <c r="AI18" s="21" t="n">
        <f aca="false">AI15*Inputs!$C$18</f>
        <v>1414814.31905584</v>
      </c>
      <c r="AJ18" s="21" t="n">
        <f aca="false">AJ15*Inputs!$C$18</f>
        <v>1450326.15846414</v>
      </c>
      <c r="AK18" s="21" t="n">
        <f aca="false">AK15*Inputs!$C$18</f>
        <v>1486729.34504159</v>
      </c>
      <c r="AL18" s="21" t="n">
        <f aca="false">AL15*Inputs!$C$18</f>
        <v>1524046.25160213</v>
      </c>
    </row>
    <row r="19" customFormat="false" ht="15" hidden="false" customHeight="false" outlineLevel="0" collapsed="false">
      <c r="A19" s="7" t="s">
        <v>67</v>
      </c>
      <c r="B19" s="7" t="s">
        <v>209</v>
      </c>
      <c r="C19" s="22" t="n">
        <f aca="false">C17*Inputs!$C$17</f>
        <v>19200</v>
      </c>
      <c r="D19" s="22" t="n">
        <f aca="false">D17*Inputs!$C$17</f>
        <v>19681.92</v>
      </c>
      <c r="E19" s="22" t="n">
        <f aca="false">E17*Inputs!$C$17</f>
        <v>20175.936192</v>
      </c>
      <c r="F19" s="22" t="n">
        <f aca="false">F17*Inputs!$C$17</f>
        <v>20682.3521904192</v>
      </c>
      <c r="G19" s="22" t="n">
        <f aca="false">G17*Inputs!$C$17</f>
        <v>21201.4792303987</v>
      </c>
      <c r="H19" s="22" t="n">
        <f aca="false">H17*Inputs!$C$17</f>
        <v>21733.6363590817</v>
      </c>
      <c r="I19" s="22" t="n">
        <f aca="false">I17*Inputs!$C$17</f>
        <v>22279.1506316947</v>
      </c>
      <c r="J19" s="22" t="n">
        <f aca="false">J17*Inputs!$C$17</f>
        <v>22838.3573125502</v>
      </c>
      <c r="K19" s="22" t="n">
        <f aca="false">K17*Inputs!$C$17</f>
        <v>23411.6000810952</v>
      </c>
      <c r="L19" s="22" t="n">
        <f aca="false">L17*Inputs!$C$17</f>
        <v>23999.2312431307</v>
      </c>
      <c r="M19" s="22" t="n">
        <f aca="false">M17*Inputs!$C$17</f>
        <v>24601.6119473333</v>
      </c>
      <c r="N19" s="22" t="n">
        <f aca="false">N17*Inputs!$C$17</f>
        <v>25219.1124072113</v>
      </c>
      <c r="O19" s="22" t="n">
        <f aca="false">O17*Inputs!$C$17</f>
        <v>25852.1121286323</v>
      </c>
      <c r="P19" s="22" t="n">
        <f aca="false">P17*Inputs!$C$17</f>
        <v>26501.000143061</v>
      </c>
      <c r="Q19" s="22" t="n">
        <f aca="false">Q17*Inputs!$C$17</f>
        <v>27166.1752466518</v>
      </c>
      <c r="R19" s="22" t="n">
        <f aca="false">R17*Inputs!$C$17</f>
        <v>27848.0462453428</v>
      </c>
      <c r="S19" s="22" t="n">
        <f aca="false">S17*Inputs!$C$17</f>
        <v>28547.0322061009</v>
      </c>
      <c r="T19" s="22" t="n">
        <f aca="false">T17*Inputs!$C$17</f>
        <v>29263.562714474</v>
      </c>
      <c r="U19" s="22" t="n">
        <f aca="false">U17*Inputs!$C$17</f>
        <v>29998.0781386073</v>
      </c>
      <c r="V19" s="22" t="n">
        <f aca="false">V17*Inputs!$C$17</f>
        <v>30751.0298998864</v>
      </c>
      <c r="W19" s="22" t="n">
        <f aca="false">W17*Inputs!$C$17</f>
        <v>31522.8807503735</v>
      </c>
      <c r="X19" s="22" t="n">
        <f aca="false">X17*Inputs!$C$17</f>
        <v>32314.1050572079</v>
      </c>
      <c r="Y19" s="22" t="n">
        <f aca="false">Y17*Inputs!$C$17</f>
        <v>33125.1890941438</v>
      </c>
      <c r="Z19" s="22" t="n">
        <f aca="false">Z17*Inputs!$C$17</f>
        <v>33956.6313404068</v>
      </c>
      <c r="AA19" s="22" t="n">
        <f aca="false">AA17*Inputs!$C$17</f>
        <v>34808.942787051</v>
      </c>
      <c r="AB19" s="22" t="n">
        <f aca="false">AB17*Inputs!$C$17</f>
        <v>35682.647251006</v>
      </c>
      <c r="AC19" s="22" t="n">
        <f aca="false">AC17*Inputs!$C$17</f>
        <v>36578.2816970062</v>
      </c>
      <c r="AD19" s="22" t="n">
        <f aca="false">AD17*Inputs!$C$17</f>
        <v>37496.3965676011</v>
      </c>
      <c r="AE19" s="22" t="n">
        <f aca="false">AE17*Inputs!$C$17</f>
        <v>38437.5561214479</v>
      </c>
      <c r="AF19" s="22" t="n">
        <f aca="false">AF17*Inputs!$C$17</f>
        <v>39402.3387800962</v>
      </c>
      <c r="AG19" s="22" t="n">
        <f aca="false">AG17*Inputs!$C$17</f>
        <v>40391.3374834766</v>
      </c>
      <c r="AH19" s="22" t="n">
        <f aca="false">AH17*Inputs!$C$17</f>
        <v>41405.1600543119</v>
      </c>
      <c r="AI19" s="22" t="n">
        <f aca="false">AI17*Inputs!$C$17</f>
        <v>42444.4295716751</v>
      </c>
      <c r="AJ19" s="22" t="n">
        <f aca="false">AJ17*Inputs!$C$17</f>
        <v>43509.7847539242</v>
      </c>
      <c r="AK19" s="22" t="n">
        <f aca="false">AK17*Inputs!$C$17</f>
        <v>44601.8803512476</v>
      </c>
      <c r="AL19" s="22" t="n">
        <f aca="false">AL17*Inputs!$C$17</f>
        <v>45721.387548064</v>
      </c>
    </row>
    <row r="20" customFormat="false" ht="15" hidden="false" customHeight="false" outlineLevel="0" collapsed="false">
      <c r="A20" s="7" t="s">
        <v>274</v>
      </c>
      <c r="B20" s="7" t="s">
        <v>209</v>
      </c>
      <c r="C20" s="22" t="n">
        <f aca="false">C18*Inputs!$C$17*(1-Inputs!$C$19)</f>
        <v>10240</v>
      </c>
      <c r="D20" s="22" t="n">
        <f aca="false">D18*Inputs!$C$17*(1-Inputs!$C$19)</f>
        <v>10497.024</v>
      </c>
      <c r="E20" s="22" t="n">
        <f aca="false">E18*Inputs!$C$17*(1-Inputs!$C$19)</f>
        <v>10760.4993024</v>
      </c>
      <c r="F20" s="22" t="n">
        <f aca="false">F18*Inputs!$C$17*(1-Inputs!$C$19)</f>
        <v>11030.5878348902</v>
      </c>
      <c r="G20" s="22" t="n">
        <f aca="false">G18*Inputs!$C$17*(1-Inputs!$C$19)</f>
        <v>11307.455589546</v>
      </c>
      <c r="H20" s="22" t="n">
        <f aca="false">H18*Inputs!$C$17*(1-Inputs!$C$19)</f>
        <v>11591.2727248436</v>
      </c>
      <c r="I20" s="22" t="n">
        <f aca="false">I18*Inputs!$C$17*(1-Inputs!$C$19)</f>
        <v>11882.2136702372</v>
      </c>
      <c r="J20" s="22" t="n">
        <f aca="false">J18*Inputs!$C$17*(1-Inputs!$C$19)</f>
        <v>12180.4572333601</v>
      </c>
      <c r="K20" s="22" t="n">
        <f aca="false">K18*Inputs!$C$17*(1-Inputs!$C$19)</f>
        <v>12486.1867099174</v>
      </c>
      <c r="L20" s="22" t="n">
        <f aca="false">L18*Inputs!$C$17*(1-Inputs!$C$19)</f>
        <v>12799.5899963364</v>
      </c>
      <c r="M20" s="22" t="n">
        <f aca="false">M18*Inputs!$C$17*(1-Inputs!$C$19)</f>
        <v>13120.8597052444</v>
      </c>
      <c r="N20" s="22" t="n">
        <f aca="false">N18*Inputs!$C$17*(1-Inputs!$C$19)</f>
        <v>13450.193283846</v>
      </c>
      <c r="O20" s="22" t="n">
        <f aca="false">O18*Inputs!$C$17*(1-Inputs!$C$19)</f>
        <v>13787.7931352706</v>
      </c>
      <c r="P20" s="22" t="n">
        <f aca="false">P18*Inputs!$C$17*(1-Inputs!$C$19)</f>
        <v>14133.8667429659</v>
      </c>
      <c r="Q20" s="22" t="n">
        <f aca="false">Q18*Inputs!$C$17*(1-Inputs!$C$19)</f>
        <v>14488.6267982143</v>
      </c>
      <c r="R20" s="22" t="n">
        <f aca="false">R18*Inputs!$C$17*(1-Inputs!$C$19)</f>
        <v>14852.2913308495</v>
      </c>
      <c r="S20" s="22" t="n">
        <f aca="false">S18*Inputs!$C$17*(1-Inputs!$C$19)</f>
        <v>15225.0838432538</v>
      </c>
      <c r="T20" s="22" t="n">
        <f aca="false">T18*Inputs!$C$17*(1-Inputs!$C$19)</f>
        <v>15607.2334477195</v>
      </c>
      <c r="U20" s="22" t="n">
        <f aca="false">U18*Inputs!$C$17*(1-Inputs!$C$19)</f>
        <v>15998.9750072572</v>
      </c>
      <c r="V20" s="22" t="n">
        <f aca="false">V18*Inputs!$C$17*(1-Inputs!$C$19)</f>
        <v>16400.5492799394</v>
      </c>
      <c r="W20" s="22" t="n">
        <f aca="false">W18*Inputs!$C$17*(1-Inputs!$C$19)</f>
        <v>16812.2030668659</v>
      </c>
      <c r="X20" s="22" t="n">
        <f aca="false">X18*Inputs!$C$17*(1-Inputs!$C$19)</f>
        <v>17234.1893638442</v>
      </c>
      <c r="Y20" s="22" t="n">
        <f aca="false">Y18*Inputs!$C$17*(1-Inputs!$C$19)</f>
        <v>17666.7675168767</v>
      </c>
      <c r="Z20" s="22" t="n">
        <f aca="false">Z18*Inputs!$C$17*(1-Inputs!$C$19)</f>
        <v>18110.2033815503</v>
      </c>
      <c r="AA20" s="22" t="n">
        <f aca="false">AA18*Inputs!$C$17*(1-Inputs!$C$19)</f>
        <v>18564.7694864272</v>
      </c>
      <c r="AB20" s="22" t="n">
        <f aca="false">AB18*Inputs!$C$17*(1-Inputs!$C$19)</f>
        <v>19030.7452005365</v>
      </c>
      <c r="AC20" s="22" t="n">
        <f aca="false">AC18*Inputs!$C$17*(1-Inputs!$C$19)</f>
        <v>19508.41690507</v>
      </c>
      <c r="AD20" s="22" t="n">
        <f aca="false">AD18*Inputs!$C$17*(1-Inputs!$C$19)</f>
        <v>19998.0781693873</v>
      </c>
      <c r="AE20" s="22" t="n">
        <f aca="false">AE18*Inputs!$C$17*(1-Inputs!$C$19)</f>
        <v>20500.0299314389</v>
      </c>
      <c r="AF20" s="22" t="n">
        <f aca="false">AF18*Inputs!$C$17*(1-Inputs!$C$19)</f>
        <v>21014.580682718</v>
      </c>
      <c r="AG20" s="22" t="n">
        <f aca="false">AG18*Inputs!$C$17*(1-Inputs!$C$19)</f>
        <v>21542.0466578542</v>
      </c>
      <c r="AH20" s="22" t="n">
        <f aca="false">AH18*Inputs!$C$17*(1-Inputs!$C$19)</f>
        <v>22082.7520289663</v>
      </c>
      <c r="AI20" s="22" t="n">
        <f aca="false">AI18*Inputs!$C$17*(1-Inputs!$C$19)</f>
        <v>22637.0291048934</v>
      </c>
      <c r="AJ20" s="22" t="n">
        <f aca="false">AJ18*Inputs!$C$17*(1-Inputs!$C$19)</f>
        <v>23205.2185354262</v>
      </c>
      <c r="AK20" s="22" t="n">
        <f aca="false">AK18*Inputs!$C$17*(1-Inputs!$C$19)</f>
        <v>23787.6695206654</v>
      </c>
      <c r="AL20" s="22" t="n">
        <f aca="false">AL18*Inputs!$C$17*(1-Inputs!$C$19)</f>
        <v>24384.7400256341</v>
      </c>
    </row>
    <row r="21" customFormat="false" ht="15" hidden="false" customHeight="false" outlineLevel="0" collapsed="false">
      <c r="A21" s="7" t="s">
        <v>73</v>
      </c>
      <c r="B21" s="7" t="s">
        <v>209</v>
      </c>
      <c r="C21" s="22" t="n">
        <f aca="false">C11*Inputs!$C$20</f>
        <v>0</v>
      </c>
      <c r="D21" s="22" t="n">
        <f aca="false">D11*Inputs!$C$20</f>
        <v>0</v>
      </c>
      <c r="E21" s="22" t="n">
        <f aca="false">E11*Inputs!$C$20</f>
        <v>0</v>
      </c>
      <c r="F21" s="22" t="n">
        <f aca="false">F11*Inputs!$C$20</f>
        <v>0</v>
      </c>
      <c r="G21" s="22" t="n">
        <f aca="false">G11*Inputs!$C$20</f>
        <v>0</v>
      </c>
      <c r="H21" s="22" t="n">
        <f aca="false">H11*Inputs!$C$20</f>
        <v>0</v>
      </c>
      <c r="I21" s="22" t="n">
        <f aca="false">I11*Inputs!$C$20</f>
        <v>0</v>
      </c>
      <c r="J21" s="22" t="n">
        <f aca="false">J11*Inputs!$C$20</f>
        <v>0</v>
      </c>
      <c r="K21" s="22" t="n">
        <f aca="false">K11*Inputs!$C$20</f>
        <v>0</v>
      </c>
      <c r="L21" s="22" t="n">
        <f aca="false">L11*Inputs!$C$20</f>
        <v>0</v>
      </c>
      <c r="M21" s="22" t="n">
        <f aca="false">M11*Inputs!$C$20</f>
        <v>0</v>
      </c>
      <c r="N21" s="22" t="n">
        <f aca="false">N11*Inputs!$C$20</f>
        <v>0</v>
      </c>
      <c r="O21" s="22" t="n">
        <f aca="false">O11*Inputs!$C$20</f>
        <v>0</v>
      </c>
      <c r="P21" s="22" t="n">
        <f aca="false">P11*Inputs!$C$20</f>
        <v>0</v>
      </c>
      <c r="Q21" s="22" t="n">
        <f aca="false">Q11*Inputs!$C$20</f>
        <v>0</v>
      </c>
      <c r="R21" s="22" t="n">
        <f aca="false">R11*Inputs!$C$20</f>
        <v>0</v>
      </c>
      <c r="S21" s="22" t="n">
        <f aca="false">S11*Inputs!$C$20</f>
        <v>0</v>
      </c>
      <c r="T21" s="22" t="n">
        <f aca="false">T11*Inputs!$C$20</f>
        <v>0</v>
      </c>
      <c r="U21" s="22" t="n">
        <f aca="false">U11*Inputs!$C$20</f>
        <v>0</v>
      </c>
      <c r="V21" s="22" t="n">
        <f aca="false">V11*Inputs!$C$20</f>
        <v>0</v>
      </c>
      <c r="W21" s="22" t="n">
        <f aca="false">W11*Inputs!$C$20</f>
        <v>0</v>
      </c>
      <c r="X21" s="22" t="n">
        <f aca="false">X11*Inputs!$C$20</f>
        <v>0</v>
      </c>
      <c r="Y21" s="22" t="n">
        <f aca="false">Y11*Inputs!$C$20</f>
        <v>0</v>
      </c>
      <c r="Z21" s="22" t="n">
        <f aca="false">Z11*Inputs!$C$20</f>
        <v>0</v>
      </c>
      <c r="AA21" s="22" t="n">
        <f aca="false">AA11*Inputs!$C$20</f>
        <v>0</v>
      </c>
      <c r="AB21" s="22" t="n">
        <f aca="false">AB11*Inputs!$C$20</f>
        <v>0</v>
      </c>
      <c r="AC21" s="22" t="n">
        <f aca="false">AC11*Inputs!$C$20</f>
        <v>0</v>
      </c>
      <c r="AD21" s="22" t="n">
        <f aca="false">AD11*Inputs!$C$20</f>
        <v>0</v>
      </c>
      <c r="AE21" s="22" t="n">
        <f aca="false">AE11*Inputs!$C$20</f>
        <v>0</v>
      </c>
      <c r="AF21" s="22" t="n">
        <f aca="false">AF11*Inputs!$C$20</f>
        <v>0</v>
      </c>
      <c r="AG21" s="22" t="n">
        <f aca="false">AG11*Inputs!$C$20</f>
        <v>0</v>
      </c>
      <c r="AH21" s="22" t="n">
        <f aca="false">AH11*Inputs!$C$20</f>
        <v>0</v>
      </c>
      <c r="AI21" s="22" t="n">
        <f aca="false">AI11*Inputs!$C$20</f>
        <v>0</v>
      </c>
      <c r="AJ21" s="22" t="n">
        <f aca="false">AJ11*Inputs!$C$20</f>
        <v>0</v>
      </c>
      <c r="AK21" s="22" t="n">
        <f aca="false">AK11*Inputs!$C$20</f>
        <v>0</v>
      </c>
      <c r="AL21" s="22" t="n">
        <f aca="false">AL11*Inputs!$C$20</f>
        <v>0</v>
      </c>
    </row>
    <row r="22" customFormat="false" ht="15" hidden="false" customHeight="false" outlineLevel="0" collapsed="false">
      <c r="A22" s="19" t="s">
        <v>275</v>
      </c>
      <c r="B22" s="7" t="s">
        <v>209</v>
      </c>
      <c r="C22" s="23" t="n">
        <f aca="false">SUM(C19:C21)</f>
        <v>29440</v>
      </c>
      <c r="D22" s="23" t="n">
        <f aca="false">SUM(D19:D21)</f>
        <v>30178.944</v>
      </c>
      <c r="E22" s="23" t="n">
        <f aca="false">SUM(E19:E21)</f>
        <v>30936.4354944</v>
      </c>
      <c r="F22" s="23" t="n">
        <f aca="false">SUM(F19:F21)</f>
        <v>31712.9400253094</v>
      </c>
      <c r="G22" s="23" t="n">
        <f aca="false">SUM(G19:G21)</f>
        <v>32508.9348199447</v>
      </c>
      <c r="H22" s="23" t="n">
        <f aca="false">SUM(H19:H21)</f>
        <v>33324.9090839253</v>
      </c>
      <c r="I22" s="23" t="n">
        <f aca="false">SUM(I19:I21)</f>
        <v>34161.3643019318</v>
      </c>
      <c r="J22" s="23" t="n">
        <f aca="false">SUM(J19:J21)</f>
        <v>35018.8145459103</v>
      </c>
      <c r="K22" s="23" t="n">
        <f aca="false">SUM(K19:K21)</f>
        <v>35897.7867910127</v>
      </c>
      <c r="L22" s="23" t="n">
        <f aca="false">SUM(L19:L21)</f>
        <v>36798.8212394671</v>
      </c>
      <c r="M22" s="23" t="n">
        <f aca="false">SUM(M19:M21)</f>
        <v>37722.4716525777</v>
      </c>
      <c r="N22" s="23" t="n">
        <f aca="false">SUM(N19:N21)</f>
        <v>38669.3056910574</v>
      </c>
      <c r="O22" s="23" t="n">
        <f aca="false">SUM(O19:O21)</f>
        <v>39639.9052639029</v>
      </c>
      <c r="P22" s="23" t="n">
        <f aca="false">SUM(P19:P21)</f>
        <v>40634.8668860269</v>
      </c>
      <c r="Q22" s="23" t="n">
        <f aca="false">SUM(Q19:Q21)</f>
        <v>41654.8020448662</v>
      </c>
      <c r="R22" s="23" t="n">
        <f aca="false">SUM(R19:R21)</f>
        <v>42700.3375761923</v>
      </c>
      <c r="S22" s="23" t="n">
        <f aca="false">SUM(S19:S21)</f>
        <v>43772.1160493547</v>
      </c>
      <c r="T22" s="23" t="n">
        <f aca="false">SUM(T19:T21)</f>
        <v>44870.7961621935</v>
      </c>
      <c r="U22" s="23" t="n">
        <f aca="false">SUM(U19:U21)</f>
        <v>45997.0531458646</v>
      </c>
      <c r="V22" s="23" t="n">
        <f aca="false">SUM(V19:V21)</f>
        <v>47151.5791798258</v>
      </c>
      <c r="W22" s="23" t="n">
        <f aca="false">SUM(W19:W21)</f>
        <v>48335.0838172394</v>
      </c>
      <c r="X22" s="23" t="n">
        <f aca="false">SUM(X19:X21)</f>
        <v>49548.2944210521</v>
      </c>
      <c r="Y22" s="23" t="n">
        <f aca="false">SUM(Y19:Y21)</f>
        <v>50791.9566110205</v>
      </c>
      <c r="Z22" s="23" t="n">
        <f aca="false">SUM(Z19:Z21)</f>
        <v>52066.8347219571</v>
      </c>
      <c r="AA22" s="23" t="n">
        <f aca="false">SUM(AA19:AA21)</f>
        <v>53373.7122734782</v>
      </c>
      <c r="AB22" s="23" t="n">
        <f aca="false">SUM(AB19:AB21)</f>
        <v>54713.3924515425</v>
      </c>
      <c r="AC22" s="23" t="n">
        <f aca="false">SUM(AC19:AC21)</f>
        <v>56086.6986020762</v>
      </c>
      <c r="AD22" s="23" t="n">
        <f aca="false">SUM(AD19:AD21)</f>
        <v>57494.4747369884</v>
      </c>
      <c r="AE22" s="23" t="n">
        <f aca="false">SUM(AE19:AE21)</f>
        <v>58937.5860528867</v>
      </c>
      <c r="AF22" s="23" t="n">
        <f aca="false">SUM(AF19:AF21)</f>
        <v>60416.9194628142</v>
      </c>
      <c r="AG22" s="23" t="n">
        <f aca="false">SUM(AG19:AG21)</f>
        <v>61933.3841413308</v>
      </c>
      <c r="AH22" s="23" t="n">
        <f aca="false">SUM(AH19:AH21)</f>
        <v>63487.9120832782</v>
      </c>
      <c r="AI22" s="23" t="n">
        <f aca="false">SUM(AI19:AI21)</f>
        <v>65081.4586765685</v>
      </c>
      <c r="AJ22" s="23" t="n">
        <f aca="false">SUM(AJ19:AJ21)</f>
        <v>66715.0032893504</v>
      </c>
      <c r="AK22" s="23" t="n">
        <f aca="false">SUM(AK19:AK21)</f>
        <v>68389.549871913</v>
      </c>
      <c r="AL22" s="23" t="n">
        <f aca="false">SUM(AL19:AL21)</f>
        <v>70106.1275736981</v>
      </c>
    </row>
    <row r="23" customFormat="false" ht="15" hidden="false" customHeight="false" outlineLevel="0" collapsed="false">
      <c r="A23" s="9" t="s">
        <v>276</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row>
    <row r="24" customFormat="false" ht="15" hidden="false" customHeight="false" outlineLevel="0" collapsed="false">
      <c r="A24" s="7" t="s">
        <v>277</v>
      </c>
      <c r="B24" s="7" t="s">
        <v>209</v>
      </c>
      <c r="C24" s="24" t="n">
        <f aca="false">Inputs!$C$22*(1-$B$5)^((C$8-1)/12)</f>
        <v>0.006</v>
      </c>
      <c r="D24" s="24" t="n">
        <f aca="false">Inputs!$C$22*(1-$B$5)^((D$8-1)/12)</f>
        <v>0.00594755033427182</v>
      </c>
      <c r="E24" s="24" t="n">
        <f aca="false">Inputs!$C$22*(1-$B$5)^((E$8-1)/12)</f>
        <v>0.00589555916311614</v>
      </c>
      <c r="F24" s="24" t="n">
        <f aca="false">Inputs!$C$22*(1-$B$5)^((F$8-1)/12)</f>
        <v>0.00584402247855178</v>
      </c>
      <c r="G24" s="24" t="n">
        <f aca="false">Inputs!$C$22*(1-$B$5)^((G$8-1)/12)</f>
        <v>0.00579293630763378</v>
      </c>
      <c r="H24" s="24" t="n">
        <f aca="false">Inputs!$C$22*(1-$B$5)^((H$8-1)/12)</f>
        <v>0.00574229671214711</v>
      </c>
      <c r="I24" s="24" t="n">
        <f aca="false">Inputs!$C$22*(1-$B$5)^((I$8-1)/12)</f>
        <v>0.00569209978830308</v>
      </c>
      <c r="J24" s="24" t="n">
        <f aca="false">Inputs!$C$22*(1-$B$5)^((J$8-1)/12)</f>
        <v>0.00564234166643843</v>
      </c>
      <c r="K24" s="24" t="n">
        <f aca="false">Inputs!$C$22*(1-$B$5)^((K$8-1)/12)</f>
        <v>0.00559301851071695</v>
      </c>
      <c r="L24" s="24" t="n">
        <f aca="false">Inputs!$C$22*(1-$B$5)^((L$8-1)/12)</f>
        <v>0.00554412651883384</v>
      </c>
      <c r="M24" s="24" t="n">
        <f aca="false">Inputs!$C$22*(1-$B$5)^((M$8-1)/12)</f>
        <v>0.00549566192172258</v>
      </c>
      <c r="N24" s="24" t="n">
        <f aca="false">Inputs!$C$22*(1-$B$5)^((N$8-1)/12)</f>
        <v>0.00544762098326434</v>
      </c>
      <c r="O24" s="24" t="n">
        <f aca="false">Inputs!$C$22*(1-$B$5)^((O$8-1)/12)</f>
        <v>0.0054</v>
      </c>
      <c r="P24" s="24" t="n">
        <f aca="false">Inputs!$C$22*(1-$B$5)^((P$8-1)/12)</f>
        <v>0.00535279530084464</v>
      </c>
      <c r="Q24" s="24" t="n">
        <f aca="false">Inputs!$C$22*(1-$B$5)^((Q$8-1)/12)</f>
        <v>0.00530600324680453</v>
      </c>
      <c r="R24" s="24" t="n">
        <f aca="false">Inputs!$C$22*(1-$B$5)^((R$8-1)/12)</f>
        <v>0.0052596202306966</v>
      </c>
      <c r="S24" s="24" t="n">
        <f aca="false">Inputs!$C$22*(1-$B$5)^((S$8-1)/12)</f>
        <v>0.0052136426768704</v>
      </c>
      <c r="T24" s="24" t="n">
        <f aca="false">Inputs!$C$22*(1-$B$5)^((T$8-1)/12)</f>
        <v>0.0051680670409324</v>
      </c>
      <c r="U24" s="24" t="n">
        <f aca="false">Inputs!$C$22*(1-$B$5)^((U$8-1)/12)</f>
        <v>0.00512288980947278</v>
      </c>
      <c r="V24" s="24" t="n">
        <f aca="false">Inputs!$C$22*(1-$B$5)^((V$8-1)/12)</f>
        <v>0.00507810749979458</v>
      </c>
      <c r="W24" s="24" t="n">
        <f aca="false">Inputs!$C$22*(1-$B$5)^((W$8-1)/12)</f>
        <v>0.00503371665964525</v>
      </c>
      <c r="X24" s="24" t="n">
        <f aca="false">Inputs!$C$22*(1-$B$5)^((X$8-1)/12)</f>
        <v>0.00498971386695046</v>
      </c>
      <c r="Y24" s="24" t="n">
        <f aca="false">Inputs!$C$22*(1-$B$5)^((Y$8-1)/12)</f>
        <v>0.00494609572955032</v>
      </c>
      <c r="Z24" s="24" t="n">
        <f aca="false">Inputs!$C$22*(1-$B$5)^((Z$8-1)/12)</f>
        <v>0.00490285888493791</v>
      </c>
      <c r="AA24" s="24" t="n">
        <f aca="false">Inputs!$C$22*(1-$B$5)^((AA$8-1)/12)</f>
        <v>0.00486</v>
      </c>
      <c r="AB24" s="24" t="n">
        <f aca="false">Inputs!$C$22*(1-$B$5)^((AB$8-1)/12)</f>
        <v>0.00481751577076017</v>
      </c>
      <c r="AC24" s="24" t="n">
        <f aca="false">Inputs!$C$22*(1-$B$5)^((AC$8-1)/12)</f>
        <v>0.00477540292212407</v>
      </c>
      <c r="AD24" s="24" t="n">
        <f aca="false">Inputs!$C$22*(1-$B$5)^((AD$8-1)/12)</f>
        <v>0.00473365820762694</v>
      </c>
      <c r="AE24" s="24" t="n">
        <f aca="false">Inputs!$C$22*(1-$B$5)^((AE$8-1)/12)</f>
        <v>0.00469227840918336</v>
      </c>
      <c r="AF24" s="24" t="n">
        <f aca="false">Inputs!$C$22*(1-$B$5)^((AF$8-1)/12)</f>
        <v>0.00465126033683916</v>
      </c>
      <c r="AG24" s="24" t="n">
        <f aca="false">Inputs!$C$22*(1-$B$5)^((AG$8-1)/12)</f>
        <v>0.0046106008285255</v>
      </c>
      <c r="AH24" s="24" t="n">
        <f aca="false">Inputs!$C$22*(1-$B$5)^((AH$8-1)/12)</f>
        <v>0.00457029674981513</v>
      </c>
      <c r="AI24" s="24" t="n">
        <f aca="false">Inputs!$C$22*(1-$B$5)^((AI$8-1)/12)</f>
        <v>0.00453034499368073</v>
      </c>
      <c r="AJ24" s="24" t="n">
        <f aca="false">Inputs!$C$22*(1-$B$5)^((AJ$8-1)/12)</f>
        <v>0.00449074248025541</v>
      </c>
      <c r="AK24" s="24" t="n">
        <f aca="false">Inputs!$C$22*(1-$B$5)^((AK$8-1)/12)</f>
        <v>0.00445148615659529</v>
      </c>
      <c r="AL24" s="24" t="n">
        <f aca="false">Inputs!$C$22*(1-$B$5)^((AL$8-1)/12)</f>
        <v>0.00441257299644412</v>
      </c>
    </row>
    <row r="25" customFormat="false" ht="15" hidden="false" customHeight="false" outlineLevel="0" collapsed="false">
      <c r="A25" s="7" t="s">
        <v>278</v>
      </c>
      <c r="B25" s="7" t="s">
        <v>209</v>
      </c>
      <c r="C25" s="22" t="n">
        <f aca="false">C15*C24*(1-$B$7)</f>
        <v>9120</v>
      </c>
      <c r="D25" s="22" t="n">
        <f aca="false">D15*D24*(1-$B$7)</f>
        <v>9267.1874484463</v>
      </c>
      <c r="E25" s="22" t="n">
        <f aca="false">E15*E24*(1-$B$7)</f>
        <v>9416.75035138604</v>
      </c>
      <c r="F25" s="22" t="n">
        <f aca="false">F15*F24*(1-$B$7)</f>
        <v>9568.72704621898</v>
      </c>
      <c r="G25" s="22" t="n">
        <f aca="false">G15*G24*(1-$B$7)</f>
        <v>9723.15648907118</v>
      </c>
      <c r="H25" s="22" t="n">
        <f aca="false">H15*H24*(1-$B$7)</f>
        <v>9880.07826478066</v>
      </c>
      <c r="I25" s="22" t="n">
        <f aca="false">I15*I24*(1-$B$7)</f>
        <v>10039.5325970441</v>
      </c>
      <c r="J25" s="22" t="n">
        <f aca="false">J15*J24*(1-$B$7)</f>
        <v>10201.5603587275</v>
      </c>
      <c r="K25" s="22" t="n">
        <f aca="false">K15*K24*(1-$B$7)</f>
        <v>10366.2030823429</v>
      </c>
      <c r="L25" s="22" t="n">
        <f aca="false">L15*L24*(1-$B$7)</f>
        <v>10533.5029706944</v>
      </c>
      <c r="M25" s="22" t="n">
        <f aca="false">M15*M24*(1-$B$7)</f>
        <v>10703.5029076964</v>
      </c>
      <c r="N25" s="22" t="n">
        <f aca="false">N15*N24*(1-$B$7)</f>
        <v>10876.2464693654</v>
      </c>
      <c r="O25" s="22" t="n">
        <f aca="false">O15*O24*(1-$B$7)</f>
        <v>11051.7779349903</v>
      </c>
      <c r="P25" s="22" t="n">
        <f aca="false">P15*P24*(1-$B$7)</f>
        <v>11230.1422984823</v>
      </c>
      <c r="Q25" s="22" t="n">
        <f aca="false">Q15*Q24*(1-$B$7)</f>
        <v>11411.385279908</v>
      </c>
      <c r="R25" s="22" t="n">
        <f aca="false">R15*R24*(1-$B$7)</f>
        <v>11595.5533372092</v>
      </c>
      <c r="S25" s="22" t="n">
        <f aca="false">S15*S24*(1-$B$7)</f>
        <v>11782.6936781113</v>
      </c>
      <c r="T25" s="22" t="n">
        <f aca="false">T15*T24*(1-$B$7)</f>
        <v>11972.8542722237</v>
      </c>
      <c r="U25" s="22" t="n">
        <f aca="false">U15*U24*(1-$B$7)</f>
        <v>12166.0838633365</v>
      </c>
      <c r="V25" s="22" t="n">
        <f aca="false">V15*V24*(1-$B$7)</f>
        <v>12362.4319819141</v>
      </c>
      <c r="W25" s="22" t="n">
        <f aca="false">W15*W24*(1-$B$7)</f>
        <v>12561.9489577923</v>
      </c>
      <c r="X25" s="22" t="n">
        <f aca="false">X15*X24*(1-$B$7)</f>
        <v>12764.6859330785</v>
      </c>
      <c r="Y25" s="22" t="n">
        <f aca="false">Y15*Y24*(1-$B$7)</f>
        <v>12970.6948752614</v>
      </c>
      <c r="Z25" s="22" t="n">
        <f aca="false">Z15*Z24*(1-$B$7)</f>
        <v>13180.0285905317</v>
      </c>
      <c r="AA25" s="22" t="n">
        <f aca="false">AA15*AA24*(1-$B$7)</f>
        <v>13392.7407373179</v>
      </c>
      <c r="AB25" s="22" t="n">
        <f aca="false">AB15*AB24*(1-$B$7)</f>
        <v>13608.8858400403</v>
      </c>
      <c r="AC25" s="22" t="n">
        <f aca="false">AC15*AC24*(1-$B$7)</f>
        <v>13828.5193030878</v>
      </c>
      <c r="AD25" s="22" t="n">
        <f aca="false">AD15*AD24*(1-$B$7)</f>
        <v>14051.6974250189</v>
      </c>
      <c r="AE25" s="22" t="n">
        <f aca="false">AE15*AE24*(1-$B$7)</f>
        <v>14278.4774129935</v>
      </c>
      <c r="AF25" s="22" t="n">
        <f aca="false">AF15*AF24*(1-$B$7)</f>
        <v>14508.9173974361</v>
      </c>
      <c r="AG25" s="22" t="n">
        <f aca="false">AG15*AG24*(1-$B$7)</f>
        <v>14743.0764469368</v>
      </c>
      <c r="AH25" s="22" t="n">
        <f aca="false">AH15*AH24*(1-$B$7)</f>
        <v>14981.0145833922</v>
      </c>
      <c r="AI25" s="22" t="n">
        <f aca="false">AI15*AI24*(1-$B$7)</f>
        <v>15222.7927973907</v>
      </c>
      <c r="AJ25" s="22" t="n">
        <f aca="false">AJ15*AJ24*(1-$B$7)</f>
        <v>15468.4730638463</v>
      </c>
      <c r="AK25" s="22" t="n">
        <f aca="false">AK15*AK24*(1-$B$7)</f>
        <v>15718.1183578844</v>
      </c>
      <c r="AL25" s="22" t="n">
        <f aca="false">AL15*AL24*(1-$B$7)</f>
        <v>15971.7926709847</v>
      </c>
    </row>
    <row r="26" customFormat="false" ht="15" hidden="false" customHeight="false" outlineLevel="0" collapsed="false">
      <c r="A26" s="7" t="s">
        <v>279</v>
      </c>
      <c r="B26" s="7" t="s">
        <v>243</v>
      </c>
      <c r="C26" s="25" t="n">
        <f aca="false">(1-$B$6)^((C$8-1)/12)*(1-Inputs!$C$27)</f>
        <v>0.9</v>
      </c>
      <c r="D26" s="25" t="n">
        <f aca="false">(1-$B$6)^((D$8-1)/12)*(1-Inputs!$C$27)</f>
        <v>0.9</v>
      </c>
      <c r="E26" s="25" t="n">
        <f aca="false">(1-$B$6)^((E$8-1)/12)*(1-Inputs!$C$27)</f>
        <v>0.9</v>
      </c>
      <c r="F26" s="25" t="n">
        <f aca="false">(1-$B$6)^((F$8-1)/12)*(1-Inputs!$C$27)</f>
        <v>0.9</v>
      </c>
      <c r="G26" s="25" t="n">
        <f aca="false">(1-$B$6)^((G$8-1)/12)*(1-Inputs!$C$27)</f>
        <v>0.9</v>
      </c>
      <c r="H26" s="25" t="n">
        <f aca="false">(1-$B$6)^((H$8-1)/12)*(1-Inputs!$C$27)</f>
        <v>0.9</v>
      </c>
      <c r="I26" s="25" t="n">
        <f aca="false">(1-$B$6)^((I$8-1)/12)*(1-Inputs!$C$27)</f>
        <v>0.9</v>
      </c>
      <c r="J26" s="25" t="n">
        <f aca="false">(1-$B$6)^((J$8-1)/12)*(1-Inputs!$C$27)</f>
        <v>0.9</v>
      </c>
      <c r="K26" s="25" t="n">
        <f aca="false">(1-$B$6)^((K$8-1)/12)*(1-Inputs!$C$27)</f>
        <v>0.9</v>
      </c>
      <c r="L26" s="25" t="n">
        <f aca="false">(1-$B$6)^((L$8-1)/12)*(1-Inputs!$C$27)</f>
        <v>0.9</v>
      </c>
      <c r="M26" s="25" t="n">
        <f aca="false">(1-$B$6)^((M$8-1)/12)*(1-Inputs!$C$27)</f>
        <v>0.9</v>
      </c>
      <c r="N26" s="25" t="n">
        <f aca="false">(1-$B$6)^((N$8-1)/12)*(1-Inputs!$C$27)</f>
        <v>0.9</v>
      </c>
      <c r="O26" s="25" t="n">
        <f aca="false">(1-$B$6)^((O$8-1)/12)*(1-Inputs!$C$27)</f>
        <v>0.9</v>
      </c>
      <c r="P26" s="25" t="n">
        <f aca="false">(1-$B$6)^((P$8-1)/12)*(1-Inputs!$C$27)</f>
        <v>0.9</v>
      </c>
      <c r="Q26" s="25" t="n">
        <f aca="false">(1-$B$6)^((Q$8-1)/12)*(1-Inputs!$C$27)</f>
        <v>0.9</v>
      </c>
      <c r="R26" s="25" t="n">
        <f aca="false">(1-$B$6)^((R$8-1)/12)*(1-Inputs!$C$27)</f>
        <v>0.9</v>
      </c>
      <c r="S26" s="25" t="n">
        <f aca="false">(1-$B$6)^((S$8-1)/12)*(1-Inputs!$C$27)</f>
        <v>0.9</v>
      </c>
      <c r="T26" s="25" t="n">
        <f aca="false">(1-$B$6)^((T$8-1)/12)*(1-Inputs!$C$27)</f>
        <v>0.9</v>
      </c>
      <c r="U26" s="25" t="n">
        <f aca="false">(1-$B$6)^((U$8-1)/12)*(1-Inputs!$C$27)</f>
        <v>0.9</v>
      </c>
      <c r="V26" s="25" t="n">
        <f aca="false">(1-$B$6)^((V$8-1)/12)*(1-Inputs!$C$27)</f>
        <v>0.9</v>
      </c>
      <c r="W26" s="25" t="n">
        <f aca="false">(1-$B$6)^((W$8-1)/12)*(1-Inputs!$C$27)</f>
        <v>0.9</v>
      </c>
      <c r="X26" s="25" t="n">
        <f aca="false">(1-$B$6)^((X$8-1)/12)*(1-Inputs!$C$27)</f>
        <v>0.9</v>
      </c>
      <c r="Y26" s="25" t="n">
        <f aca="false">(1-$B$6)^((Y$8-1)/12)*(1-Inputs!$C$27)</f>
        <v>0.9</v>
      </c>
      <c r="Z26" s="25" t="n">
        <f aca="false">(1-$B$6)^((Z$8-1)/12)*(1-Inputs!$C$27)</f>
        <v>0.9</v>
      </c>
      <c r="AA26" s="25" t="n">
        <f aca="false">(1-$B$6)^((AA$8-1)/12)*(1-Inputs!$C$27)</f>
        <v>0.9</v>
      </c>
      <c r="AB26" s="25" t="n">
        <f aca="false">(1-$B$6)^((AB$8-1)/12)*(1-Inputs!$C$27)</f>
        <v>0.9</v>
      </c>
      <c r="AC26" s="25" t="n">
        <f aca="false">(1-$B$6)^((AC$8-1)/12)*(1-Inputs!$C$27)</f>
        <v>0.9</v>
      </c>
      <c r="AD26" s="25" t="n">
        <f aca="false">(1-$B$6)^((AD$8-1)/12)*(1-Inputs!$C$27)</f>
        <v>0.9</v>
      </c>
      <c r="AE26" s="25" t="n">
        <f aca="false">(1-$B$6)^((AE$8-1)/12)*(1-Inputs!$C$27)</f>
        <v>0.9</v>
      </c>
      <c r="AF26" s="25" t="n">
        <f aca="false">(1-$B$6)^((AF$8-1)/12)*(1-Inputs!$C$27)</f>
        <v>0.9</v>
      </c>
      <c r="AG26" s="25" t="n">
        <f aca="false">(1-$B$6)^((AG$8-1)/12)*(1-Inputs!$C$27)</f>
        <v>0.9</v>
      </c>
      <c r="AH26" s="25" t="n">
        <f aca="false">(1-$B$6)^((AH$8-1)/12)*(1-Inputs!$C$27)</f>
        <v>0.9</v>
      </c>
      <c r="AI26" s="25" t="n">
        <f aca="false">(1-$B$6)^((AI$8-1)/12)*(1-Inputs!$C$27)</f>
        <v>0.9</v>
      </c>
      <c r="AJ26" s="25" t="n">
        <f aca="false">(1-$B$6)^((AJ$8-1)/12)*(1-Inputs!$C$27)</f>
        <v>0.9</v>
      </c>
      <c r="AK26" s="25" t="n">
        <f aca="false">(1-$B$6)^((AK$8-1)/12)*(1-Inputs!$C$27)</f>
        <v>0.9</v>
      </c>
      <c r="AL26" s="25" t="n">
        <f aca="false">(1-$B$6)^((AL$8-1)/12)*(1-Inputs!$C$27)</f>
        <v>0.9</v>
      </c>
    </row>
    <row r="27" customFormat="false" ht="15" hidden="false" customHeight="false" outlineLevel="0" collapsed="false">
      <c r="A27" s="7" t="s">
        <v>280</v>
      </c>
      <c r="B27" s="7" t="s">
        <v>209</v>
      </c>
      <c r="C27" s="22" t="n">
        <f aca="false">C13/1000*Inputs!$C$24*C26</f>
        <v>4320</v>
      </c>
      <c r="D27" s="22" t="n">
        <f aca="false">D13/1000*Inputs!$C$24*D26</f>
        <v>4428.432</v>
      </c>
      <c r="E27" s="22" t="n">
        <f aca="false">E13/1000*Inputs!$C$24*E26</f>
        <v>4539.5856432</v>
      </c>
      <c r="F27" s="22" t="n">
        <f aca="false">F13/1000*Inputs!$C$24*F26</f>
        <v>4653.52924284432</v>
      </c>
      <c r="G27" s="22" t="n">
        <f aca="false">G13/1000*Inputs!$C$24*G26</f>
        <v>4770.33282683971</v>
      </c>
      <c r="H27" s="22" t="n">
        <f aca="false">H13/1000*Inputs!$C$24*H26</f>
        <v>4890.06818079339</v>
      </c>
      <c r="I27" s="22" t="n">
        <f aca="false">I13/1000*Inputs!$C$24*I26</f>
        <v>5012.8088921313</v>
      </c>
      <c r="J27" s="22" t="n">
        <f aca="false">J13/1000*Inputs!$C$24*J26</f>
        <v>5138.6303953238</v>
      </c>
      <c r="K27" s="22" t="n">
        <f aca="false">K13/1000*Inputs!$C$24*K26</f>
        <v>5267.61001824642</v>
      </c>
      <c r="L27" s="22" t="n">
        <f aca="false">L13/1000*Inputs!$C$24*L26</f>
        <v>5399.82702970441</v>
      </c>
      <c r="M27" s="22" t="n">
        <f aca="false">M13/1000*Inputs!$C$24*M26</f>
        <v>5535.36268814999</v>
      </c>
      <c r="N27" s="22" t="n">
        <f aca="false">N13/1000*Inputs!$C$24*N26</f>
        <v>5674.30029162255</v>
      </c>
      <c r="O27" s="22" t="n">
        <f aca="false">O13/1000*Inputs!$C$24*O26</f>
        <v>5816.72522894228</v>
      </c>
      <c r="P27" s="22" t="n">
        <f aca="false">P13/1000*Inputs!$C$24*P26</f>
        <v>5962.72503218873</v>
      </c>
      <c r="Q27" s="22" t="n">
        <f aca="false">Q13/1000*Inputs!$C$24*Q26</f>
        <v>6112.38943049666</v>
      </c>
      <c r="R27" s="22" t="n">
        <f aca="false">R13/1000*Inputs!$C$24*R26</f>
        <v>6265.81040520213</v>
      </c>
      <c r="S27" s="22" t="n">
        <f aca="false">S13/1000*Inputs!$C$24*S26</f>
        <v>6423.0822463727</v>
      </c>
      <c r="T27" s="22" t="n">
        <f aca="false">T13/1000*Inputs!$C$24*T26</f>
        <v>6584.30161075666</v>
      </c>
      <c r="U27" s="22" t="n">
        <f aca="false">U13/1000*Inputs!$C$24*U26</f>
        <v>6749.56758118665</v>
      </c>
      <c r="V27" s="22" t="n">
        <f aca="false">V13/1000*Inputs!$C$24*V26</f>
        <v>6918.98172747443</v>
      </c>
      <c r="W27" s="22" t="n">
        <f aca="false">W13/1000*Inputs!$C$24*W26</f>
        <v>7092.64816883404</v>
      </c>
      <c r="X27" s="22" t="n">
        <f aca="false">X13/1000*Inputs!$C$24*X26</f>
        <v>7270.67363787177</v>
      </c>
      <c r="Y27" s="22" t="n">
        <f aca="false">Y13/1000*Inputs!$C$24*Y26</f>
        <v>7453.16754618235</v>
      </c>
      <c r="Z27" s="22" t="n">
        <f aca="false">Z13/1000*Inputs!$C$24*Z26</f>
        <v>7640.24205159153</v>
      </c>
      <c r="AA27" s="22" t="n">
        <f aca="false">AA13/1000*Inputs!$C$24*AA26</f>
        <v>7832.01212708648</v>
      </c>
      <c r="AB27" s="22" t="n">
        <f aca="false">AB13/1000*Inputs!$C$24*AB26</f>
        <v>8028.59563147635</v>
      </c>
      <c r="AC27" s="22" t="n">
        <f aca="false">AC13/1000*Inputs!$C$24*AC26</f>
        <v>8230.1133818264</v>
      </c>
      <c r="AD27" s="22" t="n">
        <f aca="false">AD13/1000*Inputs!$C$24*AD26</f>
        <v>8436.68922771025</v>
      </c>
      <c r="AE27" s="22" t="n">
        <f aca="false">AE13/1000*Inputs!$C$24*AE26</f>
        <v>8648.45012732577</v>
      </c>
      <c r="AF27" s="22" t="n">
        <f aca="false">AF13/1000*Inputs!$C$24*AF26</f>
        <v>8865.52622552165</v>
      </c>
      <c r="AG27" s="22" t="n">
        <f aca="false">AG13/1000*Inputs!$C$24*AG26</f>
        <v>9088.05093378224</v>
      </c>
      <c r="AH27" s="22" t="n">
        <f aca="false">AH13/1000*Inputs!$C$24*AH26</f>
        <v>9316.16101222018</v>
      </c>
      <c r="AI27" s="22" t="n">
        <f aca="false">AI13/1000*Inputs!$C$24*AI26</f>
        <v>9549.9966536269</v>
      </c>
      <c r="AJ27" s="22" t="n">
        <f aca="false">AJ13/1000*Inputs!$C$24*AJ26</f>
        <v>9789.70156963293</v>
      </c>
      <c r="AK27" s="22" t="n">
        <f aca="false">AK13/1000*Inputs!$C$24*AK26</f>
        <v>10035.4230790307</v>
      </c>
      <c r="AL27" s="22" t="n">
        <f aca="false">AL13/1000*Inputs!$C$24*AL26</f>
        <v>10287.3121983144</v>
      </c>
    </row>
    <row r="28" customFormat="false" ht="15" hidden="false" customHeight="false" outlineLevel="0" collapsed="false">
      <c r="A28" s="7" t="s">
        <v>281</v>
      </c>
      <c r="B28" s="7" t="s">
        <v>209</v>
      </c>
      <c r="C28" s="22" t="n">
        <f aca="false">C13/1000*Inputs!$C$25*C26</f>
        <v>1080</v>
      </c>
      <c r="D28" s="22" t="n">
        <f aca="false">D13/1000*Inputs!$C$25*D26</f>
        <v>1107.108</v>
      </c>
      <c r="E28" s="22" t="n">
        <f aca="false">E13/1000*Inputs!$C$25*E26</f>
        <v>1134.8964108</v>
      </c>
      <c r="F28" s="22" t="n">
        <f aca="false">F13/1000*Inputs!$C$25*F26</f>
        <v>1163.38231071108</v>
      </c>
      <c r="G28" s="22" t="n">
        <f aca="false">G13/1000*Inputs!$C$25*G26</f>
        <v>1192.58320670993</v>
      </c>
      <c r="H28" s="22" t="n">
        <f aca="false">H13/1000*Inputs!$C$25*H26</f>
        <v>1222.51704519835</v>
      </c>
      <c r="I28" s="22" t="n">
        <f aca="false">I13/1000*Inputs!$C$25*I26</f>
        <v>1253.20222303283</v>
      </c>
      <c r="J28" s="22" t="n">
        <f aca="false">J13/1000*Inputs!$C$25*J26</f>
        <v>1284.65759883095</v>
      </c>
      <c r="K28" s="22" t="n">
        <f aca="false">K13/1000*Inputs!$C$25*K26</f>
        <v>1316.90250456161</v>
      </c>
      <c r="L28" s="22" t="n">
        <f aca="false">L13/1000*Inputs!$C$25*L26</f>
        <v>1349.9567574261</v>
      </c>
      <c r="M28" s="22" t="n">
        <f aca="false">M13/1000*Inputs!$C$25*M26</f>
        <v>1383.8406720375</v>
      </c>
      <c r="N28" s="22" t="n">
        <f aca="false">N13/1000*Inputs!$C$25*N26</f>
        <v>1418.57507290564</v>
      </c>
      <c r="O28" s="22" t="n">
        <f aca="false">O13/1000*Inputs!$C$25*O26</f>
        <v>1454.18130723557</v>
      </c>
      <c r="P28" s="22" t="n">
        <f aca="false">P13/1000*Inputs!$C$25*P26</f>
        <v>1490.68125804718</v>
      </c>
      <c r="Q28" s="22" t="n">
        <f aca="false">Q13/1000*Inputs!$C$25*Q26</f>
        <v>1528.09735762417</v>
      </c>
      <c r="R28" s="22" t="n">
        <f aca="false">R13/1000*Inputs!$C$25*R26</f>
        <v>1566.45260130053</v>
      </c>
      <c r="S28" s="22" t="n">
        <f aca="false">S13/1000*Inputs!$C$25*S26</f>
        <v>1605.77056159318</v>
      </c>
      <c r="T28" s="22" t="n">
        <f aca="false">T13/1000*Inputs!$C$25*T26</f>
        <v>1646.07540268916</v>
      </c>
      <c r="U28" s="22" t="n">
        <f aca="false">U13/1000*Inputs!$C$25*U26</f>
        <v>1687.39189529666</v>
      </c>
      <c r="V28" s="22" t="n">
        <f aca="false">V13/1000*Inputs!$C$25*V26</f>
        <v>1729.74543186861</v>
      </c>
      <c r="W28" s="22" t="n">
        <f aca="false">W13/1000*Inputs!$C$25*W26</f>
        <v>1773.16204220851</v>
      </c>
      <c r="X28" s="22" t="n">
        <f aca="false">X13/1000*Inputs!$C$25*X26</f>
        <v>1817.66840946794</v>
      </c>
      <c r="Y28" s="22" t="n">
        <f aca="false">Y13/1000*Inputs!$C$25*Y26</f>
        <v>1863.29188654559</v>
      </c>
      <c r="Z28" s="22" t="n">
        <f aca="false">Z13/1000*Inputs!$C$25*Z26</f>
        <v>1910.06051289788</v>
      </c>
      <c r="AA28" s="22" t="n">
        <f aca="false">AA13/1000*Inputs!$C$25*AA26</f>
        <v>1958.00303177162</v>
      </c>
      <c r="AB28" s="22" t="n">
        <f aca="false">AB13/1000*Inputs!$C$25*AB26</f>
        <v>2007.14890786909</v>
      </c>
      <c r="AC28" s="22" t="n">
        <f aca="false">AC13/1000*Inputs!$C$25*AC26</f>
        <v>2057.5283454566</v>
      </c>
      <c r="AD28" s="22" t="n">
        <f aca="false">AD13/1000*Inputs!$C$25*AD26</f>
        <v>2109.17230692756</v>
      </c>
      <c r="AE28" s="22" t="n">
        <f aca="false">AE13/1000*Inputs!$C$25*AE26</f>
        <v>2162.11253183144</v>
      </c>
      <c r="AF28" s="22" t="n">
        <f aca="false">AF13/1000*Inputs!$C$25*AF26</f>
        <v>2216.38155638041</v>
      </c>
      <c r="AG28" s="22" t="n">
        <f aca="false">AG13/1000*Inputs!$C$25*AG26</f>
        <v>2272.01273344556</v>
      </c>
      <c r="AH28" s="22" t="n">
        <f aca="false">AH13/1000*Inputs!$C$25*AH26</f>
        <v>2329.04025305504</v>
      </c>
      <c r="AI28" s="22" t="n">
        <f aca="false">AI13/1000*Inputs!$C$25*AI26</f>
        <v>2387.49916340673</v>
      </c>
      <c r="AJ28" s="22" t="n">
        <f aca="false">AJ13/1000*Inputs!$C$25*AJ26</f>
        <v>2447.42539240823</v>
      </c>
      <c r="AK28" s="22" t="n">
        <f aca="false">AK13/1000*Inputs!$C$25*AK26</f>
        <v>2508.85576975768</v>
      </c>
      <c r="AL28" s="22" t="n">
        <f aca="false">AL13/1000*Inputs!$C$25*AL26</f>
        <v>2571.8280495786</v>
      </c>
    </row>
    <row r="29" customFormat="false" ht="15" hidden="false" customHeight="false" outlineLevel="0" collapsed="false">
      <c r="A29" s="7" t="s">
        <v>282</v>
      </c>
      <c r="B29" s="7" t="s">
        <v>209</v>
      </c>
      <c r="C29" s="22" t="n">
        <f aca="false">C13/1000*Inputs!$C$26*C26</f>
        <v>1800</v>
      </c>
      <c r="D29" s="22" t="n">
        <f aca="false">D13/1000*Inputs!$C$26*D26</f>
        <v>1845.18</v>
      </c>
      <c r="E29" s="22" t="n">
        <f aca="false">E13/1000*Inputs!$C$26*E26</f>
        <v>1891.494018</v>
      </c>
      <c r="F29" s="22" t="n">
        <f aca="false">F13/1000*Inputs!$C$26*F26</f>
        <v>1938.9705178518</v>
      </c>
      <c r="G29" s="22" t="n">
        <f aca="false">G13/1000*Inputs!$C$26*G26</f>
        <v>1987.63867784988</v>
      </c>
      <c r="H29" s="22" t="n">
        <f aca="false">H13/1000*Inputs!$C$26*H26</f>
        <v>2037.52840866391</v>
      </c>
      <c r="I29" s="22" t="n">
        <f aca="false">I13/1000*Inputs!$C$26*I26</f>
        <v>2088.67037172138</v>
      </c>
      <c r="J29" s="22" t="n">
        <f aca="false">J13/1000*Inputs!$C$26*J26</f>
        <v>2141.09599805158</v>
      </c>
      <c r="K29" s="22" t="n">
        <f aca="false">K13/1000*Inputs!$C$26*K26</f>
        <v>2194.83750760268</v>
      </c>
      <c r="L29" s="22" t="n">
        <f aca="false">L13/1000*Inputs!$C$26*L26</f>
        <v>2249.9279290435</v>
      </c>
      <c r="M29" s="22" t="n">
        <f aca="false">M13/1000*Inputs!$C$26*M26</f>
        <v>2306.4011200625</v>
      </c>
      <c r="N29" s="22" t="n">
        <f aca="false">N13/1000*Inputs!$C$26*N26</f>
        <v>2364.29178817606</v>
      </c>
      <c r="O29" s="22" t="n">
        <f aca="false">O13/1000*Inputs!$C$26*O26</f>
        <v>2423.63551205928</v>
      </c>
      <c r="P29" s="22" t="n">
        <f aca="false">P13/1000*Inputs!$C$26*P26</f>
        <v>2484.46876341197</v>
      </c>
      <c r="Q29" s="22" t="n">
        <f aca="false">Q13/1000*Inputs!$C$26*Q26</f>
        <v>2546.82892937361</v>
      </c>
      <c r="R29" s="22" t="n">
        <f aca="false">R13/1000*Inputs!$C$26*R26</f>
        <v>2610.75433550089</v>
      </c>
      <c r="S29" s="22" t="n">
        <f aca="false">S13/1000*Inputs!$C$26*S26</f>
        <v>2676.28426932196</v>
      </c>
      <c r="T29" s="22" t="n">
        <f aca="false">T13/1000*Inputs!$C$26*T26</f>
        <v>2743.45900448194</v>
      </c>
      <c r="U29" s="22" t="n">
        <f aca="false">U13/1000*Inputs!$C$26*U26</f>
        <v>2812.31982549444</v>
      </c>
      <c r="V29" s="22" t="n">
        <f aca="false">V13/1000*Inputs!$C$26*V26</f>
        <v>2882.90905311435</v>
      </c>
      <c r="W29" s="22" t="n">
        <f aca="false">W13/1000*Inputs!$C$26*W26</f>
        <v>2955.27007034752</v>
      </c>
      <c r="X29" s="22" t="n">
        <f aca="false">X13/1000*Inputs!$C$26*X26</f>
        <v>3029.44734911324</v>
      </c>
      <c r="Y29" s="22" t="n">
        <f aca="false">Y13/1000*Inputs!$C$26*Y26</f>
        <v>3105.48647757598</v>
      </c>
      <c r="Z29" s="22" t="n">
        <f aca="false">Z13/1000*Inputs!$C$26*Z26</f>
        <v>3183.43418816314</v>
      </c>
      <c r="AA29" s="22" t="n">
        <f aca="false">AA13/1000*Inputs!$C$26*AA26</f>
        <v>3263.33838628603</v>
      </c>
      <c r="AB29" s="22" t="n">
        <f aca="false">AB13/1000*Inputs!$C$26*AB26</f>
        <v>3345.24817978181</v>
      </c>
      <c r="AC29" s="22" t="n">
        <f aca="false">AC13/1000*Inputs!$C$26*AC26</f>
        <v>3429.21390909434</v>
      </c>
      <c r="AD29" s="22" t="n">
        <f aca="false">AD13/1000*Inputs!$C$26*AD26</f>
        <v>3515.2871782126</v>
      </c>
      <c r="AE29" s="22" t="n">
        <f aca="false">AE13/1000*Inputs!$C$26*AE26</f>
        <v>3603.52088638574</v>
      </c>
      <c r="AF29" s="22" t="n">
        <f aca="false">AF13/1000*Inputs!$C$26*AF26</f>
        <v>3693.96926063402</v>
      </c>
      <c r="AG29" s="22" t="n">
        <f aca="false">AG13/1000*Inputs!$C$26*AG26</f>
        <v>3786.68788907593</v>
      </c>
      <c r="AH29" s="22" t="n">
        <f aca="false">AH13/1000*Inputs!$C$26*AH26</f>
        <v>3881.73375509174</v>
      </c>
      <c r="AI29" s="22" t="n">
        <f aca="false">AI13/1000*Inputs!$C$26*AI26</f>
        <v>3979.16527234454</v>
      </c>
      <c r="AJ29" s="22" t="n">
        <f aca="false">AJ13/1000*Inputs!$C$26*AJ26</f>
        <v>4079.04232068039</v>
      </c>
      <c r="AK29" s="22" t="n">
        <f aca="false">AK13/1000*Inputs!$C$26*AK26</f>
        <v>4181.42628292947</v>
      </c>
      <c r="AL29" s="22" t="n">
        <f aca="false">AL13/1000*Inputs!$C$26*AL26</f>
        <v>4286.380082631</v>
      </c>
    </row>
    <row r="30" customFormat="false" ht="15" hidden="false" customHeight="false" outlineLevel="0" collapsed="false">
      <c r="A30" s="19" t="s">
        <v>283</v>
      </c>
      <c r="B30" s="7" t="s">
        <v>209</v>
      </c>
      <c r="C30" s="23" t="n">
        <f aca="false">SUM(C27:C29)</f>
        <v>7200</v>
      </c>
      <c r="D30" s="23" t="n">
        <f aca="false">SUM(D27:D29)</f>
        <v>7380.72</v>
      </c>
      <c r="E30" s="23" t="n">
        <f aca="false">SUM(E27:E29)</f>
        <v>7565.976072</v>
      </c>
      <c r="F30" s="23" t="n">
        <f aca="false">SUM(F27:F29)</f>
        <v>7755.8820714072</v>
      </c>
      <c r="G30" s="23" t="n">
        <f aca="false">SUM(G27:G29)</f>
        <v>7950.55471139952</v>
      </c>
      <c r="H30" s="23" t="n">
        <f aca="false">SUM(H27:H29)</f>
        <v>8150.11363465564</v>
      </c>
      <c r="I30" s="23" t="n">
        <f aca="false">SUM(I27:I29)</f>
        <v>8354.6814868855</v>
      </c>
      <c r="J30" s="23" t="n">
        <f aca="false">SUM(J27:J29)</f>
        <v>8564.38399220633</v>
      </c>
      <c r="K30" s="23" t="n">
        <f aca="false">SUM(K27:K29)</f>
        <v>8779.35003041071</v>
      </c>
      <c r="L30" s="23" t="n">
        <f aca="false">SUM(L27:L29)</f>
        <v>8999.71171617401</v>
      </c>
      <c r="M30" s="23" t="n">
        <f aca="false">SUM(M27:M29)</f>
        <v>9225.60448024998</v>
      </c>
      <c r="N30" s="23" t="n">
        <f aca="false">SUM(N27:N29)</f>
        <v>9457.16715270425</v>
      </c>
      <c r="O30" s="23" t="n">
        <f aca="false">SUM(O27:O29)</f>
        <v>9694.54204823713</v>
      </c>
      <c r="P30" s="23" t="n">
        <f aca="false">SUM(P27:P29)</f>
        <v>9937.87505364788</v>
      </c>
      <c r="Q30" s="23" t="n">
        <f aca="false">SUM(Q27:Q29)</f>
        <v>10187.3157174944</v>
      </c>
      <c r="R30" s="23" t="n">
        <f aca="false">SUM(R27:R29)</f>
        <v>10443.0173420036</v>
      </c>
      <c r="S30" s="23" t="n">
        <f aca="false">SUM(S27:S29)</f>
        <v>10705.1370772878</v>
      </c>
      <c r="T30" s="23" t="n">
        <f aca="false">SUM(T27:T29)</f>
        <v>10973.8360179278</v>
      </c>
      <c r="U30" s="23" t="n">
        <f aca="false">SUM(U27:U29)</f>
        <v>11249.2793019777</v>
      </c>
      <c r="V30" s="23" t="n">
        <f aca="false">SUM(V27:V29)</f>
        <v>11531.6362124574</v>
      </c>
      <c r="W30" s="23" t="n">
        <f aca="false">SUM(W27:W29)</f>
        <v>11821.0802813901</v>
      </c>
      <c r="X30" s="23" t="n">
        <f aca="false">SUM(X27:X29)</f>
        <v>12117.789396453</v>
      </c>
      <c r="Y30" s="23" t="n">
        <f aca="false">SUM(Y27:Y29)</f>
        <v>12421.9459103039</v>
      </c>
      <c r="Z30" s="23" t="n">
        <f aca="false">SUM(Z27:Z29)</f>
        <v>12733.7367526526</v>
      </c>
      <c r="AA30" s="23" t="n">
        <f aca="false">SUM(AA27:AA29)</f>
        <v>13053.3535451441</v>
      </c>
      <c r="AB30" s="23" t="n">
        <f aca="false">SUM(AB27:AB29)</f>
        <v>13380.9927191272</v>
      </c>
      <c r="AC30" s="23" t="n">
        <f aca="false">SUM(AC27:AC29)</f>
        <v>13716.8556363773</v>
      </c>
      <c r="AD30" s="23" t="n">
        <f aca="false">SUM(AD27:AD29)</f>
        <v>14061.1487128504</v>
      </c>
      <c r="AE30" s="23" t="n">
        <f aca="false">SUM(AE27:AE29)</f>
        <v>14414.083545543</v>
      </c>
      <c r="AF30" s="23" t="n">
        <f aca="false">SUM(AF27:AF29)</f>
        <v>14775.8770425361</v>
      </c>
      <c r="AG30" s="23" t="n">
        <f aca="false">SUM(AG27:AG29)</f>
        <v>15146.7515563037</v>
      </c>
      <c r="AH30" s="23" t="n">
        <f aca="false">SUM(AH27:AH29)</f>
        <v>15526.935020367</v>
      </c>
      <c r="AI30" s="23" t="n">
        <f aca="false">SUM(AI27:AI29)</f>
        <v>15916.6610893782</v>
      </c>
      <c r="AJ30" s="23" t="n">
        <f aca="false">SUM(AJ27:AJ29)</f>
        <v>16316.1692827216</v>
      </c>
      <c r="AK30" s="23" t="n">
        <f aca="false">SUM(AK27:AK29)</f>
        <v>16725.7051317179</v>
      </c>
      <c r="AL30" s="23" t="n">
        <f aca="false">SUM(AL27:AL29)</f>
        <v>17145.520330524</v>
      </c>
    </row>
    <row r="31" customFormat="false" ht="15" hidden="false" customHeight="false" outlineLevel="0" collapsed="false">
      <c r="A31" s="7" t="s">
        <v>91</v>
      </c>
      <c r="B31" s="7" t="s">
        <v>209</v>
      </c>
      <c r="C31" s="22" t="n">
        <f aca="false">C22*Inputs!$C$29</f>
        <v>1472</v>
      </c>
      <c r="D31" s="22" t="n">
        <f aca="false">D22*Inputs!$C$29</f>
        <v>1508.9472</v>
      </c>
      <c r="E31" s="22" t="n">
        <f aca="false">E22*Inputs!$C$29</f>
        <v>1546.82177472</v>
      </c>
      <c r="F31" s="22" t="n">
        <f aca="false">F22*Inputs!$C$29</f>
        <v>1585.64700126547</v>
      </c>
      <c r="G31" s="22" t="n">
        <f aca="false">G22*Inputs!$C$29</f>
        <v>1625.44674099723</v>
      </c>
      <c r="H31" s="22" t="n">
        <f aca="false">H22*Inputs!$C$29</f>
        <v>1666.24545419627</v>
      </c>
      <c r="I31" s="22" t="n">
        <f aca="false">I22*Inputs!$C$29</f>
        <v>1708.06821509659</v>
      </c>
      <c r="J31" s="22" t="n">
        <f aca="false">J22*Inputs!$C$29</f>
        <v>1750.94072729552</v>
      </c>
      <c r="K31" s="22" t="n">
        <f aca="false">K22*Inputs!$C$29</f>
        <v>1794.88933955063</v>
      </c>
      <c r="L31" s="22" t="n">
        <f aca="false">L22*Inputs!$C$29</f>
        <v>1839.94106197335</v>
      </c>
      <c r="M31" s="22" t="n">
        <f aca="false">M22*Inputs!$C$29</f>
        <v>1886.12358262888</v>
      </c>
      <c r="N31" s="22" t="n">
        <f aca="false">N22*Inputs!$C$29</f>
        <v>1933.46528455287</v>
      </c>
      <c r="O31" s="22" t="n">
        <f aca="false">O22*Inputs!$C$29</f>
        <v>1981.99526319515</v>
      </c>
      <c r="P31" s="22" t="n">
        <f aca="false">P22*Inputs!$C$29</f>
        <v>2031.74334430134</v>
      </c>
      <c r="Q31" s="22" t="n">
        <f aca="false">Q22*Inputs!$C$29</f>
        <v>2082.74010224331</v>
      </c>
      <c r="R31" s="22" t="n">
        <f aca="false">R22*Inputs!$C$29</f>
        <v>2135.01687880962</v>
      </c>
      <c r="S31" s="22" t="n">
        <f aca="false">S22*Inputs!$C$29</f>
        <v>2188.60580246774</v>
      </c>
      <c r="T31" s="22" t="n">
        <f aca="false">T22*Inputs!$C$29</f>
        <v>2243.53980810968</v>
      </c>
      <c r="U31" s="22" t="n">
        <f aca="false">U22*Inputs!$C$29</f>
        <v>2299.85265729323</v>
      </c>
      <c r="V31" s="22" t="n">
        <f aca="false">V22*Inputs!$C$29</f>
        <v>2357.57895899129</v>
      </c>
      <c r="W31" s="22" t="n">
        <f aca="false">W22*Inputs!$C$29</f>
        <v>2416.75419086197</v>
      </c>
      <c r="X31" s="22" t="n">
        <f aca="false">X22*Inputs!$C$29</f>
        <v>2477.4147210526</v>
      </c>
      <c r="Y31" s="22" t="n">
        <f aca="false">Y22*Inputs!$C$29</f>
        <v>2539.59783055103</v>
      </c>
      <c r="Z31" s="22" t="n">
        <f aca="false">Z22*Inputs!$C$29</f>
        <v>2603.34173609786</v>
      </c>
      <c r="AA31" s="22" t="n">
        <f aca="false">AA22*Inputs!$C$29</f>
        <v>2668.68561367391</v>
      </c>
      <c r="AB31" s="22" t="n">
        <f aca="false">AB22*Inputs!$C$29</f>
        <v>2735.66962257713</v>
      </c>
      <c r="AC31" s="22" t="n">
        <f aca="false">AC22*Inputs!$C$29</f>
        <v>2804.33493010381</v>
      </c>
      <c r="AD31" s="22" t="n">
        <f aca="false">AD22*Inputs!$C$29</f>
        <v>2874.72373684942</v>
      </c>
      <c r="AE31" s="22" t="n">
        <f aca="false">AE22*Inputs!$C$29</f>
        <v>2946.87930264434</v>
      </c>
      <c r="AF31" s="22" t="n">
        <f aca="false">AF22*Inputs!$C$29</f>
        <v>3020.84597314071</v>
      </c>
      <c r="AG31" s="22" t="n">
        <f aca="false">AG22*Inputs!$C$29</f>
        <v>3096.66920706654</v>
      </c>
      <c r="AH31" s="22" t="n">
        <f aca="false">AH22*Inputs!$C$29</f>
        <v>3174.39560416391</v>
      </c>
      <c r="AI31" s="22" t="n">
        <f aca="false">AI22*Inputs!$C$29</f>
        <v>3254.07293382843</v>
      </c>
      <c r="AJ31" s="22" t="n">
        <f aca="false">AJ22*Inputs!$C$29</f>
        <v>3335.75016446752</v>
      </c>
      <c r="AK31" s="22" t="n">
        <f aca="false">AK22*Inputs!$C$29</f>
        <v>3419.47749359565</v>
      </c>
      <c r="AL31" s="22" t="n">
        <f aca="false">AL22*Inputs!$C$29</f>
        <v>3505.3063786849</v>
      </c>
    </row>
    <row r="32" customFormat="false" ht="15" hidden="false" customHeight="false" outlineLevel="0" collapsed="false">
      <c r="A32" s="19" t="s">
        <v>284</v>
      </c>
      <c r="B32" s="7" t="s">
        <v>209</v>
      </c>
      <c r="C32" s="23" t="n">
        <f aca="false">C25+C30+C31</f>
        <v>17792</v>
      </c>
      <c r="D32" s="23" t="n">
        <f aca="false">D25+D30+D31</f>
        <v>18156.8546484463</v>
      </c>
      <c r="E32" s="23" t="n">
        <f aca="false">E25+E30+E31</f>
        <v>18529.548198106</v>
      </c>
      <c r="F32" s="23" t="n">
        <f aca="false">F25+F30+F31</f>
        <v>18910.2561188916</v>
      </c>
      <c r="G32" s="23" t="n">
        <f aca="false">G25+G30+G31</f>
        <v>19299.1579414679</v>
      </c>
      <c r="H32" s="23" t="n">
        <f aca="false">H25+H30+H31</f>
        <v>19696.4373536326</v>
      </c>
      <c r="I32" s="23" t="n">
        <f aca="false">I25+I30+I31</f>
        <v>20102.2822990262</v>
      </c>
      <c r="J32" s="23" t="n">
        <f aca="false">J25+J30+J31</f>
        <v>20516.8850782294</v>
      </c>
      <c r="K32" s="23" t="n">
        <f aca="false">K25+K30+K31</f>
        <v>20940.4424523042</v>
      </c>
      <c r="L32" s="23" t="n">
        <f aca="false">L25+L30+L31</f>
        <v>21373.1557488418</v>
      </c>
      <c r="M32" s="23" t="n">
        <f aca="false">M25+M30+M31</f>
        <v>21815.2309705753</v>
      </c>
      <c r="N32" s="23" t="n">
        <f aca="false">N25+N30+N31</f>
        <v>22266.8789066226</v>
      </c>
      <c r="O32" s="23" t="n">
        <f aca="false">O25+O30+O31</f>
        <v>22728.3152464226</v>
      </c>
      <c r="P32" s="23" t="n">
        <f aca="false">P25+P30+P31</f>
        <v>23199.7606964315</v>
      </c>
      <c r="Q32" s="23" t="n">
        <f aca="false">Q25+Q30+Q31</f>
        <v>23681.4410996457</v>
      </c>
      <c r="R32" s="23" t="n">
        <f aca="false">R25+R30+R31</f>
        <v>24173.5875580224</v>
      </c>
      <c r="S32" s="23" t="n">
        <f aca="false">S25+S30+S31</f>
        <v>24676.4365578669</v>
      </c>
      <c r="T32" s="23" t="n">
        <f aca="false">T25+T30+T31</f>
        <v>25190.2300982612</v>
      </c>
      <c r="U32" s="23" t="n">
        <f aca="false">U25+U30+U31</f>
        <v>25715.2158226074</v>
      </c>
      <c r="V32" s="23" t="n">
        <f aca="false">V25+V30+V31</f>
        <v>26251.6471533628</v>
      </c>
      <c r="W32" s="23" t="n">
        <f aca="false">W25+W30+W31</f>
        <v>26799.7834300443</v>
      </c>
      <c r="X32" s="23" t="n">
        <f aca="false">X25+X30+X31</f>
        <v>27359.8900505841</v>
      </c>
      <c r="Y32" s="23" t="n">
        <f aca="false">Y25+Y30+Y31</f>
        <v>27932.2386161164</v>
      </c>
      <c r="Z32" s="23" t="n">
        <f aca="false">Z25+Z30+Z31</f>
        <v>28517.1070792821</v>
      </c>
      <c r="AA32" s="23" t="n">
        <f aca="false">AA25+AA30+AA31</f>
        <v>29114.7798961359</v>
      </c>
      <c r="AB32" s="23" t="n">
        <f aca="false">AB25+AB30+AB31</f>
        <v>29725.5481817447</v>
      </c>
      <c r="AC32" s="23" t="n">
        <f aca="false">AC25+AC30+AC31</f>
        <v>30349.7098695689</v>
      </c>
      <c r="AD32" s="23" t="n">
        <f aca="false">AD25+AD30+AD31</f>
        <v>30987.5698747187</v>
      </c>
      <c r="AE32" s="23" t="n">
        <f aca="false">AE25+AE30+AE31</f>
        <v>31639.4402611807</v>
      </c>
      <c r="AF32" s="23" t="n">
        <f aca="false">AF25+AF30+AF31</f>
        <v>32305.6404131129</v>
      </c>
      <c r="AG32" s="23" t="n">
        <f aca="false">AG25+AG30+AG31</f>
        <v>32986.4972103071</v>
      </c>
      <c r="AH32" s="23" t="n">
        <f aca="false">AH25+AH30+AH31</f>
        <v>33682.3452079231</v>
      </c>
      <c r="AI32" s="23" t="n">
        <f aca="false">AI25+AI30+AI31</f>
        <v>34393.5268205973</v>
      </c>
      <c r="AJ32" s="23" t="n">
        <f aca="false">AJ25+AJ30+AJ31</f>
        <v>35120.3925110354</v>
      </c>
      <c r="AK32" s="23" t="n">
        <f aca="false">AK25+AK30+AK31</f>
        <v>35863.300983198</v>
      </c>
      <c r="AL32" s="23" t="n">
        <f aca="false">AL25+AL30+AL31</f>
        <v>36622.6193801936</v>
      </c>
    </row>
    <row r="33" customFormat="false" ht="15" hidden="false" customHeight="false" outlineLevel="0" collapsed="false">
      <c r="A33" s="9" t="s">
        <v>285</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row>
    <row r="34" customFormat="false" ht="15" hidden="false" customHeight="false" outlineLevel="0" collapsed="false">
      <c r="A34" s="19" t="s">
        <v>94</v>
      </c>
      <c r="B34" s="7" t="s">
        <v>209</v>
      </c>
      <c r="C34" s="23" t="n">
        <f aca="false">C22-C32</f>
        <v>11648</v>
      </c>
      <c r="D34" s="23" t="n">
        <f aca="false">D22-D32</f>
        <v>12022.0893515537</v>
      </c>
      <c r="E34" s="23" t="n">
        <f aca="false">E22-E32</f>
        <v>12406.8872962939</v>
      </c>
      <c r="F34" s="23" t="n">
        <f aca="false">F22-F32</f>
        <v>12802.6839064178</v>
      </c>
      <c r="G34" s="23" t="n">
        <f aca="false">G22-G32</f>
        <v>13209.7768784768</v>
      </c>
      <c r="H34" s="23" t="n">
        <f aca="false">H22-H32</f>
        <v>13628.4717302927</v>
      </c>
      <c r="I34" s="23" t="n">
        <f aca="false">I22-I32</f>
        <v>14059.0820029056</v>
      </c>
      <c r="J34" s="23" t="n">
        <f aca="false">J22-J32</f>
        <v>14501.929467681</v>
      </c>
      <c r="K34" s="23" t="n">
        <f aca="false">K22-K32</f>
        <v>14957.3443387084</v>
      </c>
      <c r="L34" s="23" t="n">
        <f aca="false">L22-L32</f>
        <v>15425.6654906253</v>
      </c>
      <c r="M34" s="23" t="n">
        <f aca="false">M22-M32</f>
        <v>15907.2406820024</v>
      </c>
      <c r="N34" s="23" t="n">
        <f aca="false">N22-N32</f>
        <v>16402.4267844348</v>
      </c>
      <c r="O34" s="23" t="n">
        <f aca="false">O22-O32</f>
        <v>16911.5900174803</v>
      </c>
      <c r="P34" s="23" t="n">
        <f aca="false">P22-P32</f>
        <v>17435.1061895954</v>
      </c>
      <c r="Q34" s="23" t="n">
        <f aca="false">Q22-Q32</f>
        <v>17973.3609452204</v>
      </c>
      <c r="R34" s="23" t="n">
        <f aca="false">R22-R32</f>
        <v>18526.7500181699</v>
      </c>
      <c r="S34" s="23" t="n">
        <f aca="false">S22-S32</f>
        <v>19095.6794914879</v>
      </c>
      <c r="T34" s="23" t="n">
        <f aca="false">T22-T32</f>
        <v>19680.5660639324</v>
      </c>
      <c r="U34" s="23" t="n">
        <f aca="false">U22-U32</f>
        <v>20281.8373232571</v>
      </c>
      <c r="V34" s="23" t="n">
        <f aca="false">V22-V32</f>
        <v>20899.932026463</v>
      </c>
      <c r="W34" s="23" t="n">
        <f aca="false">W22-W32</f>
        <v>21535.3003871951</v>
      </c>
      <c r="X34" s="23" t="n">
        <f aca="false">X22-X32</f>
        <v>22188.404370468</v>
      </c>
      <c r="Y34" s="23" t="n">
        <f aca="false">Y22-Y32</f>
        <v>22859.7179949041</v>
      </c>
      <c r="Z34" s="23" t="n">
        <f aca="false">Z22-Z32</f>
        <v>23549.727642675</v>
      </c>
      <c r="AA34" s="23" t="n">
        <f aca="false">AA22-AA32</f>
        <v>24258.9323773423</v>
      </c>
      <c r="AB34" s="23" t="n">
        <f aca="false">AB22-AB32</f>
        <v>24987.8442697978</v>
      </c>
      <c r="AC34" s="23" t="n">
        <f aca="false">AC22-AC32</f>
        <v>25736.9887325073</v>
      </c>
      <c r="AD34" s="23" t="n">
        <f aca="false">AD22-AD32</f>
        <v>26506.9048622696</v>
      </c>
      <c r="AE34" s="23" t="n">
        <f aca="false">AE22-AE32</f>
        <v>27298.145791706</v>
      </c>
      <c r="AF34" s="23" t="n">
        <f aca="false">AF22-AF32</f>
        <v>28111.2790497013</v>
      </c>
      <c r="AG34" s="23" t="n">
        <f aca="false">AG22-AG32</f>
        <v>28946.8869310237</v>
      </c>
      <c r="AH34" s="23" t="n">
        <f aca="false">AH22-AH32</f>
        <v>29805.5668753551</v>
      </c>
      <c r="AI34" s="23" t="n">
        <f aca="false">AI22-AI32</f>
        <v>30687.9318559712</v>
      </c>
      <c r="AJ34" s="23" t="n">
        <f aca="false">AJ22-AJ32</f>
        <v>31594.610778315</v>
      </c>
      <c r="AK34" s="23" t="n">
        <f aca="false">AK22-AK32</f>
        <v>32526.2488887151</v>
      </c>
      <c r="AL34" s="23" t="n">
        <f aca="false">AL22-AL32</f>
        <v>33483.5081935045</v>
      </c>
    </row>
    <row r="35" customFormat="false" ht="15" hidden="false" customHeight="false" outlineLevel="0" collapsed="false">
      <c r="A35" s="7" t="s">
        <v>286</v>
      </c>
      <c r="B35" s="7" t="s">
        <v>212</v>
      </c>
      <c r="C35" s="26" t="n">
        <f aca="false">IF(C22=0,0,C34/C22)</f>
        <v>0.395652173913043</v>
      </c>
      <c r="D35" s="26" t="n">
        <f aca="false">IF(D22=0,0,D34/D22)</f>
        <v>0.398360172958792</v>
      </c>
      <c r="E35" s="26" t="n">
        <f aca="false">IF(E22=0,0,E34/E22)</f>
        <v>0.401044499730417</v>
      </c>
      <c r="F35" s="26" t="n">
        <f aca="false">IF(F22=0,0,F34/F22)</f>
        <v>0.403705361161729</v>
      </c>
      <c r="G35" s="26" t="n">
        <f aca="false">IF(G22=0,0,G34/G22)</f>
        <v>0.406342962377604</v>
      </c>
      <c r="H35" s="26" t="n">
        <f aca="false">IF(H22=0,0,H34/H22)</f>
        <v>0.408957506709796</v>
      </c>
      <c r="I35" s="26" t="n">
        <f aca="false">IF(I22=0,0,I34/I22)</f>
        <v>0.411549195712613</v>
      </c>
      <c r="J35" s="26" t="n">
        <f aca="false">IF(J22=0,0,J34/J22)</f>
        <v>0.414118229178451</v>
      </c>
      <c r="K35" s="26" t="n">
        <f aca="false">IF(K22=0,0,K34/K22)</f>
        <v>0.416664805153201</v>
      </c>
      <c r="L35" s="26" t="n">
        <f aca="false">IF(L22=0,0,L34/L22)</f>
        <v>0.419189119951514</v>
      </c>
      <c r="M35" s="26" t="n">
        <f aca="false">IF(M22=0,0,M34/M22)</f>
        <v>0.421691368171932</v>
      </c>
      <c r="N35" s="26" t="n">
        <f aca="false">IF(N22=0,0,N34/N22)</f>
        <v>0.424171742711896</v>
      </c>
      <c r="O35" s="26" t="n">
        <f aca="false">IF(O22=0,0,O34/O22)</f>
        <v>0.426630434782609</v>
      </c>
      <c r="P35" s="26" t="n">
        <f aca="false">IF(P22=0,0,P34/P22)</f>
        <v>0.429067633923782</v>
      </c>
      <c r="Q35" s="26" t="n">
        <f aca="false">IF(Q22=0,0,Q34/Q22)</f>
        <v>0.431483528018245</v>
      </c>
      <c r="R35" s="26" t="n">
        <f aca="false">IF(R22=0,0,R34/R22)</f>
        <v>0.433878303306425</v>
      </c>
      <c r="S35" s="26" t="n">
        <f aca="false">IF(S22=0,0,S34/S22)</f>
        <v>0.436252144400713</v>
      </c>
      <c r="T35" s="26" t="n">
        <f aca="false">IF(T22=0,0,T34/T22)</f>
        <v>0.438605234299686</v>
      </c>
      <c r="U35" s="26" t="n">
        <f aca="false">IF(U22=0,0,U34/U22)</f>
        <v>0.440937754402221</v>
      </c>
      <c r="V35" s="26" t="n">
        <f aca="false">IF(V22=0,0,V34/V22)</f>
        <v>0.443249884521475</v>
      </c>
      <c r="W35" s="26" t="n">
        <f aca="false">IF(W22=0,0,W34/W22)</f>
        <v>0.445541802898751</v>
      </c>
      <c r="X35" s="26" t="n">
        <f aca="false">IF(X22=0,0,X34/X22)</f>
        <v>0.447813686217232</v>
      </c>
      <c r="Y35" s="26" t="n">
        <f aca="false">IF(Y22=0,0,Y34/Y22)</f>
        <v>0.450065709615608</v>
      </c>
      <c r="Z35" s="26" t="n">
        <f aca="false">IF(Z22=0,0,Z34/Z22)</f>
        <v>0.452298046701576</v>
      </c>
      <c r="AA35" s="26" t="n">
        <f aca="false">IF(AA22=0,0,AA34/AA22)</f>
        <v>0.454510869565217</v>
      </c>
      <c r="AB35" s="26" t="n">
        <f aca="false">IF(AB22=0,0,AB34/AB22)</f>
        <v>0.456704348792274</v>
      </c>
      <c r="AC35" s="26" t="n">
        <f aca="false">IF(AC22=0,0,AC34/AC22)</f>
        <v>0.45887865347729</v>
      </c>
      <c r="AD35" s="26" t="n">
        <f aca="false">IF(AD22=0,0,AD34/AD22)</f>
        <v>0.461033951236653</v>
      </c>
      <c r="AE35" s="26" t="n">
        <f aca="false">IF(AE22=0,0,AE34/AE22)</f>
        <v>0.463170408221511</v>
      </c>
      <c r="AF35" s="26" t="n">
        <f aca="false">IF(AF22=0,0,AF34/AF22)</f>
        <v>0.465288189130587</v>
      </c>
      <c r="AG35" s="26" t="n">
        <f aca="false">IF(AG22=0,0,AG34/AG22)</f>
        <v>0.467387457222868</v>
      </c>
      <c r="AH35" s="26" t="n">
        <f aca="false">IF(AH22=0,0,AH34/AH22)</f>
        <v>0.469468374330197</v>
      </c>
      <c r="AI35" s="26" t="n">
        <f aca="false">IF(AI22=0,0,AI34/AI22)</f>
        <v>0.471531100869745</v>
      </c>
      <c r="AJ35" s="26" t="n">
        <f aca="false">IF(AJ22=0,0,AJ34/AJ22)</f>
        <v>0.473575795856378</v>
      </c>
      <c r="AK35" s="26" t="n">
        <f aca="false">IF(AK22=0,0,AK34/AK22)</f>
        <v>0.475602616914917</v>
      </c>
      <c r="AL35" s="26" t="n">
        <f aca="false">IF(AL22=0,0,AL34/AL22)</f>
        <v>0.477611720292288</v>
      </c>
    </row>
    <row r="36" customFormat="false" ht="15" hidden="false" customHeight="false" outlineLevel="0" collapsed="false">
      <c r="A36" s="19" t="s">
        <v>287</v>
      </c>
      <c r="B36" s="7" t="s">
        <v>209</v>
      </c>
      <c r="C36" s="23" t="n">
        <f aca="false">SUM($C34:C34)</f>
        <v>11648</v>
      </c>
      <c r="D36" s="23" t="n">
        <f aca="false">SUM($C34:D34)</f>
        <v>23670.0893515537</v>
      </c>
      <c r="E36" s="23" t="n">
        <f aca="false">SUM($C34:E34)</f>
        <v>36076.9766478476</v>
      </c>
      <c r="F36" s="23" t="n">
        <f aca="false">SUM($C34:F34)</f>
        <v>48879.6605542654</v>
      </c>
      <c r="G36" s="23" t="n">
        <f aca="false">SUM($C34:G34)</f>
        <v>62089.4374327422</v>
      </c>
      <c r="H36" s="23" t="n">
        <f aca="false">SUM($C34:H34)</f>
        <v>75717.9091630349</v>
      </c>
      <c r="I36" s="23" t="n">
        <f aca="false">SUM($C34:I34)</f>
        <v>89776.9911659405</v>
      </c>
      <c r="J36" s="23" t="n">
        <f aca="false">SUM($C34:J34)</f>
        <v>104278.920633621</v>
      </c>
      <c r="K36" s="23" t="n">
        <f aca="false">SUM($C34:K34)</f>
        <v>119236.26497233</v>
      </c>
      <c r="L36" s="23" t="n">
        <f aca="false">SUM($C34:L34)</f>
        <v>134661.930462955</v>
      </c>
      <c r="M36" s="23" t="n">
        <f aca="false">SUM($C34:M34)</f>
        <v>150569.171144958</v>
      </c>
      <c r="N36" s="23" t="n">
        <f aca="false">SUM($C34:N34)</f>
        <v>166971.597929392</v>
      </c>
      <c r="O36" s="23" t="n">
        <f aca="false">SUM($C34:O34)</f>
        <v>183883.187946873</v>
      </c>
      <c r="P36" s="23" t="n">
        <f aca="false">SUM($C34:P34)</f>
        <v>201318.294136468</v>
      </c>
      <c r="Q36" s="23" t="n">
        <f aca="false">SUM($C34:Q34)</f>
        <v>219291.655081689</v>
      </c>
      <c r="R36" s="23" t="n">
        <f aca="false">SUM($C34:R34)</f>
        <v>237818.405099859</v>
      </c>
      <c r="S36" s="23" t="n">
        <f aca="false">SUM($C34:S34)</f>
        <v>256914.084591346</v>
      </c>
      <c r="T36" s="23" t="n">
        <f aca="false">SUM($C34:T34)</f>
        <v>276594.650655279</v>
      </c>
      <c r="U36" s="23" t="n">
        <f aca="false">SUM($C34:U34)</f>
        <v>296876.487978536</v>
      </c>
      <c r="V36" s="23" t="n">
        <f aca="false">SUM($C34:V34)</f>
        <v>317776.420004999</v>
      </c>
      <c r="W36" s="23" t="n">
        <f aca="false">SUM($C34:W34)</f>
        <v>339311.720392194</v>
      </c>
      <c r="X36" s="23" t="n">
        <f aca="false">SUM($C34:X34)</f>
        <v>361500.124762662</v>
      </c>
      <c r="Y36" s="23" t="n">
        <f aca="false">SUM($C34:Y34)</f>
        <v>384359.842757566</v>
      </c>
      <c r="Z36" s="23" t="n">
        <f aca="false">SUM($C34:Z34)</f>
        <v>407909.570400241</v>
      </c>
      <c r="AA36" s="23" t="n">
        <f aca="false">SUM($C34:AA34)</f>
        <v>432168.502777583</v>
      </c>
      <c r="AB36" s="23" t="n">
        <f aca="false">SUM($C34:AB34)</f>
        <v>457156.347047381</v>
      </c>
      <c r="AC36" s="23" t="n">
        <f aca="false">SUM($C34:AC34)</f>
        <v>482893.335779889</v>
      </c>
      <c r="AD36" s="23" t="n">
        <f aca="false">SUM($C34:AD34)</f>
        <v>509400.240642158</v>
      </c>
      <c r="AE36" s="23" t="n">
        <f aca="false">SUM($C34:AE34)</f>
        <v>536698.386433864</v>
      </c>
      <c r="AF36" s="23" t="n">
        <f aca="false">SUM($C34:AF34)</f>
        <v>564809.665483565</v>
      </c>
      <c r="AG36" s="23" t="n">
        <f aca="false">SUM($C34:AG34)</f>
        <v>593756.552414589</v>
      </c>
      <c r="AH36" s="23" t="n">
        <f aca="false">SUM($C34:AH34)</f>
        <v>623562.119289944</v>
      </c>
      <c r="AI36" s="23" t="n">
        <f aca="false">SUM($C34:AI34)</f>
        <v>654250.051145916</v>
      </c>
      <c r="AJ36" s="23" t="n">
        <f aca="false">SUM($C34:AJ34)</f>
        <v>685844.661924231</v>
      </c>
      <c r="AK36" s="23" t="n">
        <f aca="false">SUM($C34:AK34)</f>
        <v>718370.910812946</v>
      </c>
      <c r="AL36" s="23" t="n">
        <f aca="false">SUM($C34:AL34)</f>
        <v>751854.41900645</v>
      </c>
    </row>
    <row r="37" customFormat="false" ht="15" hidden="false" customHeight="false" outlineLevel="0" collapsed="false">
      <c r="A37" s="19" t="s">
        <v>288</v>
      </c>
      <c r="B37" s="7" t="s">
        <v>209</v>
      </c>
      <c r="C37" s="23" t="n">
        <f aca="false">C36-Inputs!$C$31</f>
        <v>-738352</v>
      </c>
      <c r="D37" s="23" t="n">
        <f aca="false">D36-Inputs!$C$31</f>
        <v>-726329.910648446</v>
      </c>
      <c r="E37" s="23" t="n">
        <f aca="false">E36-Inputs!$C$31</f>
        <v>-713923.023352152</v>
      </c>
      <c r="F37" s="23" t="n">
        <f aca="false">F36-Inputs!$C$31</f>
        <v>-701120.339445735</v>
      </c>
      <c r="G37" s="23" t="n">
        <f aca="false">G36-Inputs!$C$31</f>
        <v>-687910.562567258</v>
      </c>
      <c r="H37" s="23" t="n">
        <f aca="false">H36-Inputs!$C$31</f>
        <v>-674282.090836965</v>
      </c>
      <c r="I37" s="23" t="n">
        <f aca="false">I36-Inputs!$C$31</f>
        <v>-660223.00883406</v>
      </c>
      <c r="J37" s="23" t="n">
        <f aca="false">J36-Inputs!$C$31</f>
        <v>-645721.079366379</v>
      </c>
      <c r="K37" s="23" t="n">
        <f aca="false">K36-Inputs!$C$31</f>
        <v>-630763.73502767</v>
      </c>
      <c r="L37" s="23" t="n">
        <f aca="false">L36-Inputs!$C$31</f>
        <v>-615338.069537045</v>
      </c>
      <c r="M37" s="23" t="n">
        <f aca="false">M36-Inputs!$C$31</f>
        <v>-599430.828855042</v>
      </c>
      <c r="N37" s="23" t="n">
        <f aca="false">N36-Inputs!$C$31</f>
        <v>-583028.402070608</v>
      </c>
      <c r="O37" s="23" t="n">
        <f aca="false">O36-Inputs!$C$31</f>
        <v>-566116.812053127</v>
      </c>
      <c r="P37" s="23" t="n">
        <f aca="false">P36-Inputs!$C$31</f>
        <v>-548681.705863532</v>
      </c>
      <c r="Q37" s="23" t="n">
        <f aca="false">Q36-Inputs!$C$31</f>
        <v>-530708.344918311</v>
      </c>
      <c r="R37" s="23" t="n">
        <f aca="false">R36-Inputs!$C$31</f>
        <v>-512181.594900141</v>
      </c>
      <c r="S37" s="23" t="n">
        <f aca="false">S36-Inputs!$C$31</f>
        <v>-493085.915408654</v>
      </c>
      <c r="T37" s="23" t="n">
        <f aca="false">T36-Inputs!$C$31</f>
        <v>-473405.349344721</v>
      </c>
      <c r="U37" s="23" t="n">
        <f aca="false">U36-Inputs!$C$31</f>
        <v>-453123.512021464</v>
      </c>
      <c r="V37" s="23" t="n">
        <f aca="false">V36-Inputs!$C$31</f>
        <v>-432223.579995001</v>
      </c>
      <c r="W37" s="23" t="n">
        <f aca="false">W36-Inputs!$C$31</f>
        <v>-410688.279607806</v>
      </c>
      <c r="X37" s="23" t="n">
        <f aca="false">X36-Inputs!$C$31</f>
        <v>-388499.875237338</v>
      </c>
      <c r="Y37" s="23" t="n">
        <f aca="false">Y36-Inputs!$C$31</f>
        <v>-365640.157242434</v>
      </c>
      <c r="Z37" s="23" t="n">
        <f aca="false">Z36-Inputs!$C$31</f>
        <v>-342090.429599759</v>
      </c>
      <c r="AA37" s="23" t="n">
        <f aca="false">AA36-Inputs!$C$31</f>
        <v>-317831.497222417</v>
      </c>
      <c r="AB37" s="23" t="n">
        <f aca="false">AB36-Inputs!$C$31</f>
        <v>-292843.652952619</v>
      </c>
      <c r="AC37" s="23" t="n">
        <f aca="false">AC36-Inputs!$C$31</f>
        <v>-267106.664220112</v>
      </c>
      <c r="AD37" s="23" t="n">
        <f aca="false">AD36-Inputs!$C$31</f>
        <v>-240599.759357842</v>
      </c>
      <c r="AE37" s="23" t="n">
        <f aca="false">AE36-Inputs!$C$31</f>
        <v>-213301.613566136</v>
      </c>
      <c r="AF37" s="23" t="n">
        <f aca="false">AF36-Inputs!$C$31</f>
        <v>-185190.334516435</v>
      </c>
      <c r="AG37" s="23" t="n">
        <f aca="false">AG36-Inputs!$C$31</f>
        <v>-156243.447585411</v>
      </c>
      <c r="AH37" s="23" t="n">
        <f aca="false">AH36-Inputs!$C$31</f>
        <v>-126437.880710056</v>
      </c>
      <c r="AI37" s="23" t="n">
        <f aca="false">AI36-Inputs!$C$31</f>
        <v>-95749.9488540845</v>
      </c>
      <c r="AJ37" s="23" t="n">
        <f aca="false">AJ36-Inputs!$C$31</f>
        <v>-64155.3380757695</v>
      </c>
      <c r="AK37" s="23" t="n">
        <f aca="false">AK36-Inputs!$C$31</f>
        <v>-31629.0891870544</v>
      </c>
      <c r="AL37" s="23" t="n">
        <f aca="false">AL36-Inputs!$C$31</f>
        <v>1854.4190064501</v>
      </c>
    </row>
    <row r="38" customFormat="false" ht="15" hidden="false" customHeight="false" outlineLevel="0" collapsed="false">
      <c r="A38" s="7" t="s">
        <v>289</v>
      </c>
      <c r="B38" s="7" t="s">
        <v>290</v>
      </c>
      <c r="C38" s="27" t="n">
        <f aca="false">IF(C37&gt;=0,1,0)</f>
        <v>0</v>
      </c>
      <c r="D38" s="27" t="n">
        <f aca="false">IF(D37&gt;=0,1,0)</f>
        <v>0</v>
      </c>
      <c r="E38" s="27" t="n">
        <f aca="false">IF(E37&gt;=0,1,0)</f>
        <v>0</v>
      </c>
      <c r="F38" s="27" t="n">
        <f aca="false">IF(F37&gt;=0,1,0)</f>
        <v>0</v>
      </c>
      <c r="G38" s="27" t="n">
        <f aca="false">IF(G37&gt;=0,1,0)</f>
        <v>0</v>
      </c>
      <c r="H38" s="27" t="n">
        <f aca="false">IF(H37&gt;=0,1,0)</f>
        <v>0</v>
      </c>
      <c r="I38" s="27" t="n">
        <f aca="false">IF(I37&gt;=0,1,0)</f>
        <v>0</v>
      </c>
      <c r="J38" s="27" t="n">
        <f aca="false">IF(J37&gt;=0,1,0)</f>
        <v>0</v>
      </c>
      <c r="K38" s="27" t="n">
        <f aca="false">IF(K37&gt;=0,1,0)</f>
        <v>0</v>
      </c>
      <c r="L38" s="27" t="n">
        <f aca="false">IF(L37&gt;=0,1,0)</f>
        <v>0</v>
      </c>
      <c r="M38" s="27" t="n">
        <f aca="false">IF(M37&gt;=0,1,0)</f>
        <v>0</v>
      </c>
      <c r="N38" s="27" t="n">
        <f aca="false">IF(N37&gt;=0,1,0)</f>
        <v>0</v>
      </c>
      <c r="O38" s="27" t="n">
        <f aca="false">IF(O37&gt;=0,1,0)</f>
        <v>0</v>
      </c>
      <c r="P38" s="27" t="n">
        <f aca="false">IF(P37&gt;=0,1,0)</f>
        <v>0</v>
      </c>
      <c r="Q38" s="27" t="n">
        <f aca="false">IF(Q37&gt;=0,1,0)</f>
        <v>0</v>
      </c>
      <c r="R38" s="27" t="n">
        <f aca="false">IF(R37&gt;=0,1,0)</f>
        <v>0</v>
      </c>
      <c r="S38" s="27" t="n">
        <f aca="false">IF(S37&gt;=0,1,0)</f>
        <v>0</v>
      </c>
      <c r="T38" s="27" t="n">
        <f aca="false">IF(T37&gt;=0,1,0)</f>
        <v>0</v>
      </c>
      <c r="U38" s="27" t="n">
        <f aca="false">IF(U37&gt;=0,1,0)</f>
        <v>0</v>
      </c>
      <c r="V38" s="27" t="n">
        <f aca="false">IF(V37&gt;=0,1,0)</f>
        <v>0</v>
      </c>
      <c r="W38" s="27" t="n">
        <f aca="false">IF(W37&gt;=0,1,0)</f>
        <v>0</v>
      </c>
      <c r="X38" s="27" t="n">
        <f aca="false">IF(X37&gt;=0,1,0)</f>
        <v>0</v>
      </c>
      <c r="Y38" s="27" t="n">
        <f aca="false">IF(Y37&gt;=0,1,0)</f>
        <v>0</v>
      </c>
      <c r="Z38" s="27" t="n">
        <f aca="false">IF(Z37&gt;=0,1,0)</f>
        <v>0</v>
      </c>
      <c r="AA38" s="27" t="n">
        <f aca="false">IF(AA37&gt;=0,1,0)</f>
        <v>0</v>
      </c>
      <c r="AB38" s="27" t="n">
        <f aca="false">IF(AB37&gt;=0,1,0)</f>
        <v>0</v>
      </c>
      <c r="AC38" s="27" t="n">
        <f aca="false">IF(AC37&gt;=0,1,0)</f>
        <v>0</v>
      </c>
      <c r="AD38" s="27" t="n">
        <f aca="false">IF(AD37&gt;=0,1,0)</f>
        <v>0</v>
      </c>
      <c r="AE38" s="27" t="n">
        <f aca="false">IF(AE37&gt;=0,1,0)</f>
        <v>0</v>
      </c>
      <c r="AF38" s="27" t="n">
        <f aca="false">IF(AF37&gt;=0,1,0)</f>
        <v>0</v>
      </c>
      <c r="AG38" s="27" t="n">
        <f aca="false">IF(AG37&gt;=0,1,0)</f>
        <v>0</v>
      </c>
      <c r="AH38" s="27" t="n">
        <f aca="false">IF(AH37&gt;=0,1,0)</f>
        <v>0</v>
      </c>
      <c r="AI38" s="27" t="n">
        <f aca="false">IF(AI37&gt;=0,1,0)</f>
        <v>0</v>
      </c>
      <c r="AJ38" s="27" t="n">
        <f aca="false">IF(AJ37&gt;=0,1,0)</f>
        <v>0</v>
      </c>
      <c r="AK38" s="27" t="n">
        <f aca="false">IF(AK37&gt;=0,1,0)</f>
        <v>0</v>
      </c>
      <c r="AL38" s="27" t="n">
        <f aca="false">IF(AL37&gt;=0,1,0)</f>
        <v>1</v>
      </c>
    </row>
    <row r="39" customFormat="false" ht="15" hidden="false" customHeight="false" outlineLevel="0" collapsed="false">
      <c r="A39" s="9" t="s">
        <v>291</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row>
    <row r="40" customFormat="false" ht="15" hidden="false" customHeight="false" outlineLevel="0" collapsed="false">
      <c r="A40" s="7" t="s">
        <v>292</v>
      </c>
      <c r="B40" s="7" t="s">
        <v>209</v>
      </c>
      <c r="C40" s="28" t="n">
        <f aca="false">IF(C13=0,0,C22/(C13/1000))</f>
        <v>73.6</v>
      </c>
      <c r="D40" s="28" t="n">
        <f aca="false">IF(D13=0,0,D22/(D13/1000))</f>
        <v>73.6</v>
      </c>
      <c r="E40" s="28" t="n">
        <f aca="false">IF(E13=0,0,E22/(E13/1000))</f>
        <v>73.6</v>
      </c>
      <c r="F40" s="28" t="n">
        <f aca="false">IF(F13=0,0,F22/(F13/1000))</f>
        <v>73.6</v>
      </c>
      <c r="G40" s="28" t="n">
        <f aca="false">IF(G13=0,0,G22/(G13/1000))</f>
        <v>73.6</v>
      </c>
      <c r="H40" s="28" t="n">
        <f aca="false">IF(H13=0,0,H22/(H13/1000))</f>
        <v>73.6</v>
      </c>
      <c r="I40" s="28" t="n">
        <f aca="false">IF(I13=0,0,I22/(I13/1000))</f>
        <v>73.6</v>
      </c>
      <c r="J40" s="28" t="n">
        <f aca="false">IF(J13=0,0,J22/(J13/1000))</f>
        <v>73.6</v>
      </c>
      <c r="K40" s="28" t="n">
        <f aca="false">IF(K13=0,0,K22/(K13/1000))</f>
        <v>73.6</v>
      </c>
      <c r="L40" s="28" t="n">
        <f aca="false">IF(L13=0,0,L22/(L13/1000))</f>
        <v>73.6</v>
      </c>
      <c r="M40" s="28" t="n">
        <f aca="false">IF(M13=0,0,M22/(M13/1000))</f>
        <v>73.6</v>
      </c>
      <c r="N40" s="28" t="n">
        <f aca="false">IF(N13=0,0,N22/(N13/1000))</f>
        <v>73.6</v>
      </c>
      <c r="O40" s="28" t="n">
        <f aca="false">IF(O13=0,0,O22/(O13/1000))</f>
        <v>73.6</v>
      </c>
      <c r="P40" s="28" t="n">
        <f aca="false">IF(P13=0,0,P22/(P13/1000))</f>
        <v>73.6</v>
      </c>
      <c r="Q40" s="28" t="n">
        <f aca="false">IF(Q13=0,0,Q22/(Q13/1000))</f>
        <v>73.6</v>
      </c>
      <c r="R40" s="28" t="n">
        <f aca="false">IF(R13=0,0,R22/(R13/1000))</f>
        <v>73.6</v>
      </c>
      <c r="S40" s="28" t="n">
        <f aca="false">IF(S13=0,0,S22/(S13/1000))</f>
        <v>73.6</v>
      </c>
      <c r="T40" s="28" t="n">
        <f aca="false">IF(T13=0,0,T22/(T13/1000))</f>
        <v>73.6</v>
      </c>
      <c r="U40" s="28" t="n">
        <f aca="false">IF(U13=0,0,U22/(U13/1000))</f>
        <v>73.6</v>
      </c>
      <c r="V40" s="28" t="n">
        <f aca="false">IF(V13=0,0,V22/(V13/1000))</f>
        <v>73.6</v>
      </c>
      <c r="W40" s="28" t="n">
        <f aca="false">IF(W13=0,0,W22/(W13/1000))</f>
        <v>73.6</v>
      </c>
      <c r="X40" s="28" t="n">
        <f aca="false">IF(X13=0,0,X22/(X13/1000))</f>
        <v>73.6</v>
      </c>
      <c r="Y40" s="28" t="n">
        <f aca="false">IF(Y13=0,0,Y22/(Y13/1000))</f>
        <v>73.6</v>
      </c>
      <c r="Z40" s="28" t="n">
        <f aca="false">IF(Z13=0,0,Z22/(Z13/1000))</f>
        <v>73.6</v>
      </c>
      <c r="AA40" s="28" t="n">
        <f aca="false">IF(AA13=0,0,AA22/(AA13/1000))</f>
        <v>73.6</v>
      </c>
      <c r="AB40" s="28" t="n">
        <f aca="false">IF(AB13=0,0,AB22/(AB13/1000))</f>
        <v>73.6</v>
      </c>
      <c r="AC40" s="28" t="n">
        <f aca="false">IF(AC13=0,0,AC22/(AC13/1000))</f>
        <v>73.6</v>
      </c>
      <c r="AD40" s="28" t="n">
        <f aca="false">IF(AD13=0,0,AD22/(AD13/1000))</f>
        <v>73.6</v>
      </c>
      <c r="AE40" s="28" t="n">
        <f aca="false">IF(AE13=0,0,AE22/(AE13/1000))</f>
        <v>73.6</v>
      </c>
      <c r="AF40" s="28" t="n">
        <f aca="false">IF(AF13=0,0,AF22/(AF13/1000))</f>
        <v>73.6</v>
      </c>
      <c r="AG40" s="28" t="n">
        <f aca="false">IF(AG13=0,0,AG22/(AG13/1000))</f>
        <v>73.6</v>
      </c>
      <c r="AH40" s="28" t="n">
        <f aca="false">IF(AH13=0,0,AH22/(AH13/1000))</f>
        <v>73.6</v>
      </c>
      <c r="AI40" s="28" t="n">
        <f aca="false">IF(AI13=0,0,AI22/(AI13/1000))</f>
        <v>73.6</v>
      </c>
      <c r="AJ40" s="28" t="n">
        <f aca="false">IF(AJ13=0,0,AJ22/(AJ13/1000))</f>
        <v>73.6</v>
      </c>
      <c r="AK40" s="28" t="n">
        <f aca="false">IF(AK13=0,0,AK22/(AK13/1000))</f>
        <v>73.6</v>
      </c>
      <c r="AL40" s="28" t="n">
        <f aca="false">IF(AL13=0,0,AL22/(AL13/1000))</f>
        <v>73.6</v>
      </c>
    </row>
    <row r="41" customFormat="false" ht="15" hidden="false" customHeight="false" outlineLevel="0" collapsed="false">
      <c r="A41" s="7" t="s">
        <v>293</v>
      </c>
      <c r="B41" s="7" t="s">
        <v>209</v>
      </c>
      <c r="C41" s="28" t="n">
        <f aca="false">IF(C13=0,0,C32/(C13/1000))</f>
        <v>44.48</v>
      </c>
      <c r="D41" s="28" t="n">
        <f aca="false">IF(D13=0,0,D32/(D13/1000))</f>
        <v>44.2806912702329</v>
      </c>
      <c r="E41" s="28" t="n">
        <f aca="false">IF(E13=0,0,E32/(E13/1000))</f>
        <v>44.0831248198413</v>
      </c>
      <c r="F41" s="28" t="n">
        <f aca="false">IF(F13=0,0,F32/(F13/1000))</f>
        <v>43.8872854184968</v>
      </c>
      <c r="G41" s="28" t="n">
        <f aca="false">IF(G13=0,0,G32/(G13/1000))</f>
        <v>43.6931579690084</v>
      </c>
      <c r="H41" s="28" t="n">
        <f aca="false">IF(H13=0,0,H32/(H13/1000))</f>
        <v>43.500727506159</v>
      </c>
      <c r="I41" s="28" t="n">
        <f aca="false">IF(I13=0,0,I32/(I13/1000))</f>
        <v>43.3099791955517</v>
      </c>
      <c r="J41" s="28" t="n">
        <f aca="false">IF(J13=0,0,J32/(J13/1000))</f>
        <v>43.120898332466</v>
      </c>
      <c r="K41" s="28" t="n">
        <f aca="false">IF(K13=0,0,K32/(K13/1000))</f>
        <v>42.9334703407244</v>
      </c>
      <c r="L41" s="28" t="n">
        <f aca="false">IF(L13=0,0,L32/(L13/1000))</f>
        <v>42.7476807715686</v>
      </c>
      <c r="M41" s="28" t="n">
        <f aca="false">IF(M13=0,0,M32/(M13/1000))</f>
        <v>42.5635153025458</v>
      </c>
      <c r="N41" s="28" t="n">
        <f aca="false">IF(N13=0,0,N32/(N13/1000))</f>
        <v>42.3809597364045</v>
      </c>
      <c r="O41" s="28" t="n">
        <f aca="false">IF(O13=0,0,O32/(O13/1000))</f>
        <v>42.2</v>
      </c>
      <c r="P41" s="28" t="n">
        <f aca="false">IF(P13=0,0,P32/(P13/1000))</f>
        <v>42.0206221432096</v>
      </c>
      <c r="Q41" s="28" t="n">
        <f aca="false">IF(Q13=0,0,Q32/(Q13/1000))</f>
        <v>41.8428123378572</v>
      </c>
      <c r="R41" s="28" t="n">
        <f aca="false">IF(R13=0,0,R32/(R13/1000))</f>
        <v>41.6665568766471</v>
      </c>
      <c r="S41" s="28" t="n">
        <f aca="false">IF(S13=0,0,S32/(S13/1000))</f>
        <v>41.4918421721075</v>
      </c>
      <c r="T41" s="28" t="n">
        <f aca="false">IF(T13=0,0,T32/(T13/1000))</f>
        <v>41.3186547555431</v>
      </c>
      <c r="U41" s="28" t="n">
        <f aca="false">IF(U13=0,0,U32/(U13/1000))</f>
        <v>41.1469812759965</v>
      </c>
      <c r="V41" s="28" t="n">
        <f aca="false">IF(V13=0,0,V32/(V13/1000))</f>
        <v>40.9768084992194</v>
      </c>
      <c r="W41" s="28" t="n">
        <f aca="false">IF(W13=0,0,W32/(W13/1000))</f>
        <v>40.808123306652</v>
      </c>
      <c r="X41" s="28" t="n">
        <f aca="false">IF(X13=0,0,X32/(X13/1000))</f>
        <v>40.6409126944117</v>
      </c>
      <c r="Y41" s="28" t="n">
        <f aca="false">IF(Y13=0,0,Y32/(Y13/1000))</f>
        <v>40.4751637722912</v>
      </c>
      <c r="Z41" s="28" t="n">
        <f aca="false">IF(Z13=0,0,Z32/(Z13/1000))</f>
        <v>40.310863762764</v>
      </c>
      <c r="AA41" s="28" t="n">
        <f aca="false">IF(AA13=0,0,AA32/(AA13/1000))</f>
        <v>40.148</v>
      </c>
      <c r="AB41" s="28" t="n">
        <f aca="false">IF(AB13=0,0,AB32/(AB13/1000))</f>
        <v>39.9865599288887</v>
      </c>
      <c r="AC41" s="28" t="n">
        <f aca="false">IF(AC13=0,0,AC32/(AC13/1000))</f>
        <v>39.8265311040715</v>
      </c>
      <c r="AD41" s="28" t="n">
        <f aca="false">IF(AD13=0,0,AD32/(AD13/1000))</f>
        <v>39.6679011889824</v>
      </c>
      <c r="AE41" s="28" t="n">
        <f aca="false">IF(AE13=0,0,AE32/(AE13/1000))</f>
        <v>39.5106579548968</v>
      </c>
      <c r="AF41" s="28" t="n">
        <f aca="false">IF(AF13=0,0,AF32/(AF13/1000))</f>
        <v>39.3547892799888</v>
      </c>
      <c r="AG41" s="28" t="n">
        <f aca="false">IF(AG13=0,0,AG32/(AG13/1000))</f>
        <v>39.2002831483969</v>
      </c>
      <c r="AH41" s="28" t="n">
        <f aca="false">IF(AH13=0,0,AH32/(AH13/1000))</f>
        <v>39.0471276492975</v>
      </c>
      <c r="AI41" s="28" t="n">
        <f aca="false">IF(AI13=0,0,AI32/(AI13/1000))</f>
        <v>38.8953109759868</v>
      </c>
      <c r="AJ41" s="28" t="n">
        <f aca="false">IF(AJ13=0,0,AJ32/(AJ13/1000))</f>
        <v>38.7448214249706</v>
      </c>
      <c r="AK41" s="28" t="n">
        <f aca="false">IF(AK13=0,0,AK32/(AK13/1000))</f>
        <v>38.5956473950621</v>
      </c>
      <c r="AL41" s="28" t="n">
        <f aca="false">IF(AL13=0,0,AL32/(AL13/1000))</f>
        <v>38.4477773864876</v>
      </c>
    </row>
    <row r="42" customFormat="false" ht="15" hidden="false" customHeight="false" outlineLevel="0" collapsed="false">
      <c r="A42" s="7" t="s">
        <v>294</v>
      </c>
      <c r="B42" s="7" t="s">
        <v>209</v>
      </c>
      <c r="C42" s="28" t="n">
        <f aca="false">IF(C13=0,0,C30/(C13/1000))</f>
        <v>18</v>
      </c>
      <c r="D42" s="28" t="n">
        <f aca="false">IF(D13=0,0,D30/(D13/1000))</f>
        <v>18</v>
      </c>
      <c r="E42" s="28" t="n">
        <f aca="false">IF(E13=0,0,E30/(E13/1000))</f>
        <v>18</v>
      </c>
      <c r="F42" s="28" t="n">
        <f aca="false">IF(F13=0,0,F30/(F13/1000))</f>
        <v>18</v>
      </c>
      <c r="G42" s="28" t="n">
        <f aca="false">IF(G13=0,0,G30/(G13/1000))</f>
        <v>18</v>
      </c>
      <c r="H42" s="28" t="n">
        <f aca="false">IF(H13=0,0,H30/(H13/1000))</f>
        <v>18</v>
      </c>
      <c r="I42" s="28" t="n">
        <f aca="false">IF(I13=0,0,I30/(I13/1000))</f>
        <v>18</v>
      </c>
      <c r="J42" s="28" t="n">
        <f aca="false">IF(J13=0,0,J30/(J13/1000))</f>
        <v>18</v>
      </c>
      <c r="K42" s="28" t="n">
        <f aca="false">IF(K13=0,0,K30/(K13/1000))</f>
        <v>18</v>
      </c>
      <c r="L42" s="28" t="n">
        <f aca="false">IF(L13=0,0,L30/(L13/1000))</f>
        <v>18</v>
      </c>
      <c r="M42" s="28" t="n">
        <f aca="false">IF(M13=0,0,M30/(M13/1000))</f>
        <v>18</v>
      </c>
      <c r="N42" s="28" t="n">
        <f aca="false">IF(N13=0,0,N30/(N13/1000))</f>
        <v>18</v>
      </c>
      <c r="O42" s="28" t="n">
        <f aca="false">IF(O13=0,0,O30/(O13/1000))</f>
        <v>18</v>
      </c>
      <c r="P42" s="28" t="n">
        <f aca="false">IF(P13=0,0,P30/(P13/1000))</f>
        <v>18</v>
      </c>
      <c r="Q42" s="28" t="n">
        <f aca="false">IF(Q13=0,0,Q30/(Q13/1000))</f>
        <v>18</v>
      </c>
      <c r="R42" s="28" t="n">
        <f aca="false">IF(R13=0,0,R30/(R13/1000))</f>
        <v>18</v>
      </c>
      <c r="S42" s="28" t="n">
        <f aca="false">IF(S13=0,0,S30/(S13/1000))</f>
        <v>18</v>
      </c>
      <c r="T42" s="28" t="n">
        <f aca="false">IF(T13=0,0,T30/(T13/1000))</f>
        <v>18</v>
      </c>
      <c r="U42" s="28" t="n">
        <f aca="false">IF(U13=0,0,U30/(U13/1000))</f>
        <v>18</v>
      </c>
      <c r="V42" s="28" t="n">
        <f aca="false">IF(V13=0,0,V30/(V13/1000))</f>
        <v>18</v>
      </c>
      <c r="W42" s="28" t="n">
        <f aca="false">IF(W13=0,0,W30/(W13/1000))</f>
        <v>18</v>
      </c>
      <c r="X42" s="28" t="n">
        <f aca="false">IF(X13=0,0,X30/(X13/1000))</f>
        <v>18</v>
      </c>
      <c r="Y42" s="28" t="n">
        <f aca="false">IF(Y13=0,0,Y30/(Y13/1000))</f>
        <v>18</v>
      </c>
      <c r="Z42" s="28" t="n">
        <f aca="false">IF(Z13=0,0,Z30/(Z13/1000))</f>
        <v>18</v>
      </c>
      <c r="AA42" s="28" t="n">
        <f aca="false">IF(AA13=0,0,AA30/(AA13/1000))</f>
        <v>18</v>
      </c>
      <c r="AB42" s="28" t="n">
        <f aca="false">IF(AB13=0,0,AB30/(AB13/1000))</f>
        <v>18</v>
      </c>
      <c r="AC42" s="28" t="n">
        <f aca="false">IF(AC13=0,0,AC30/(AC13/1000))</f>
        <v>18</v>
      </c>
      <c r="AD42" s="28" t="n">
        <f aca="false">IF(AD13=0,0,AD30/(AD13/1000))</f>
        <v>18</v>
      </c>
      <c r="AE42" s="28" t="n">
        <f aca="false">IF(AE13=0,0,AE30/(AE13/1000))</f>
        <v>18</v>
      </c>
      <c r="AF42" s="28" t="n">
        <f aca="false">IF(AF13=0,0,AF30/(AF13/1000))</f>
        <v>18</v>
      </c>
      <c r="AG42" s="28" t="n">
        <f aca="false">IF(AG13=0,0,AG30/(AG13/1000))</f>
        <v>18</v>
      </c>
      <c r="AH42" s="28" t="n">
        <f aca="false">IF(AH13=0,0,AH30/(AH13/1000))</f>
        <v>18</v>
      </c>
      <c r="AI42" s="28" t="n">
        <f aca="false">IF(AI13=0,0,AI30/(AI13/1000))</f>
        <v>18</v>
      </c>
      <c r="AJ42" s="28" t="n">
        <f aca="false">IF(AJ13=0,0,AJ30/(AJ13/1000))</f>
        <v>18</v>
      </c>
      <c r="AK42" s="28" t="n">
        <f aca="false">IF(AK13=0,0,AK30/(AK13/1000))</f>
        <v>18</v>
      </c>
      <c r="AL42" s="28" t="n">
        <f aca="false">IF(AL13=0,0,AL30/(AL13/1000))</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8" min="3" style="0" width="13"/>
  </cols>
  <sheetData>
    <row r="1" customFormat="false" ht="17.35" hidden="false" customHeight="false" outlineLevel="0" collapsed="false">
      <c r="A1" s="1" t="s">
        <v>295</v>
      </c>
    </row>
    <row r="2" customFormat="false" ht="15" hidden="false" customHeight="false" outlineLevel="0" collapsed="false">
      <c r="A2" s="3" t="s">
        <v>266</v>
      </c>
      <c r="B2" s="4" t="s">
        <v>196</v>
      </c>
    </row>
    <row r="3" customFormat="false" ht="15" hidden="false" customHeight="false" outlineLevel="0" collapsed="false">
      <c r="A3" s="7" t="s">
        <v>182</v>
      </c>
      <c r="B3" s="17" t="n">
        <f aca="false">Inputs!D5</f>
        <v>0.04</v>
      </c>
    </row>
    <row r="4" customFormat="false" ht="15" hidden="false" customHeight="false" outlineLevel="0" collapsed="false">
      <c r="A4" s="7" t="s">
        <v>185</v>
      </c>
      <c r="B4" s="17" t="n">
        <f aca="false">Inputs!D6</f>
        <v>0.01</v>
      </c>
    </row>
    <row r="5" customFormat="false" ht="15" hidden="false" customHeight="false" outlineLevel="0" collapsed="false">
      <c r="A5" s="7" t="s">
        <v>187</v>
      </c>
      <c r="B5" s="17" t="n">
        <f aca="false">Inputs!D7</f>
        <v>0.25</v>
      </c>
    </row>
    <row r="6" customFormat="false" ht="15" hidden="false" customHeight="false" outlineLevel="0" collapsed="false">
      <c r="A6" s="7" t="s">
        <v>190</v>
      </c>
      <c r="B6" s="17" t="n">
        <f aca="false">Inputs!D8</f>
        <v>0.05</v>
      </c>
    </row>
    <row r="7" customFormat="false" ht="15" hidden="false" customHeight="false" outlineLevel="0" collapsed="false">
      <c r="A7" s="7" t="s">
        <v>192</v>
      </c>
      <c r="B7" s="17" t="n">
        <f aca="false">Inputs!D9</f>
        <v>0.1</v>
      </c>
    </row>
    <row r="8" customFormat="false" ht="15" hidden="false" customHeight="false" outlineLevel="0" collapsed="false">
      <c r="A8" s="3" t="s">
        <v>267</v>
      </c>
      <c r="B8" s="4" t="s">
        <v>178</v>
      </c>
      <c r="C8" s="18" t="n">
        <v>1</v>
      </c>
      <c r="D8" s="18" t="n">
        <v>2</v>
      </c>
      <c r="E8" s="18" t="n">
        <v>3</v>
      </c>
      <c r="F8" s="18" t="n">
        <v>4</v>
      </c>
      <c r="G8" s="18" t="n">
        <v>5</v>
      </c>
      <c r="H8" s="18" t="n">
        <v>6</v>
      </c>
      <c r="I8" s="18" t="n">
        <v>7</v>
      </c>
      <c r="J8" s="18" t="n">
        <v>8</v>
      </c>
      <c r="K8" s="18" t="n">
        <v>9</v>
      </c>
      <c r="L8" s="18" t="n">
        <v>10</v>
      </c>
      <c r="M8" s="18" t="n">
        <v>11</v>
      </c>
      <c r="N8" s="18" t="n">
        <v>12</v>
      </c>
      <c r="O8" s="18" t="n">
        <v>13</v>
      </c>
      <c r="P8" s="18" t="n">
        <v>14</v>
      </c>
      <c r="Q8" s="18" t="n">
        <v>15</v>
      </c>
      <c r="R8" s="18" t="n">
        <v>16</v>
      </c>
      <c r="S8" s="18" t="n">
        <v>17</v>
      </c>
      <c r="T8" s="18" t="n">
        <v>18</v>
      </c>
      <c r="U8" s="18" t="n">
        <v>19</v>
      </c>
      <c r="V8" s="18" t="n">
        <v>20</v>
      </c>
      <c r="W8" s="18" t="n">
        <v>21</v>
      </c>
      <c r="X8" s="18" t="n">
        <v>22</v>
      </c>
      <c r="Y8" s="18" t="n">
        <v>23</v>
      </c>
      <c r="Z8" s="18" t="n">
        <v>24</v>
      </c>
      <c r="AA8" s="18" t="n">
        <v>25</v>
      </c>
      <c r="AB8" s="18" t="n">
        <v>26</v>
      </c>
      <c r="AC8" s="18" t="n">
        <v>27</v>
      </c>
      <c r="AD8" s="18" t="n">
        <v>28</v>
      </c>
      <c r="AE8" s="18" t="n">
        <v>29</v>
      </c>
      <c r="AF8" s="18" t="n">
        <v>30</v>
      </c>
      <c r="AG8" s="18" t="n">
        <v>31</v>
      </c>
      <c r="AH8" s="18" t="n">
        <v>32</v>
      </c>
      <c r="AI8" s="18" t="n">
        <v>33</v>
      </c>
      <c r="AJ8" s="18" t="n">
        <v>34</v>
      </c>
      <c r="AK8" s="18" t="n">
        <v>35</v>
      </c>
      <c r="AL8" s="18" t="n">
        <v>36</v>
      </c>
    </row>
    <row r="9" customFormat="false" ht="15" hidden="false" customHeight="false" outlineLevel="0" collapsed="false">
      <c r="A9" s="19" t="s">
        <v>268</v>
      </c>
      <c r="C9" s="20" t="n">
        <f aca="false">ROUNDUP(C8/12,0)</f>
        <v>1</v>
      </c>
      <c r="D9" s="20" t="n">
        <f aca="false">ROUNDUP(D8/12,0)</f>
        <v>1</v>
      </c>
      <c r="E9" s="20" t="n">
        <f aca="false">ROUNDUP(E8/12,0)</f>
        <v>1</v>
      </c>
      <c r="F9" s="20" t="n">
        <f aca="false">ROUNDUP(F8/12,0)</f>
        <v>1</v>
      </c>
      <c r="G9" s="20" t="n">
        <f aca="false">ROUNDUP(G8/12,0)</f>
        <v>1</v>
      </c>
      <c r="H9" s="20" t="n">
        <f aca="false">ROUNDUP(H8/12,0)</f>
        <v>1</v>
      </c>
      <c r="I9" s="20" t="n">
        <f aca="false">ROUNDUP(I8/12,0)</f>
        <v>1</v>
      </c>
      <c r="J9" s="20" t="n">
        <f aca="false">ROUNDUP(J8/12,0)</f>
        <v>1</v>
      </c>
      <c r="K9" s="20" t="n">
        <f aca="false">ROUNDUP(K8/12,0)</f>
        <v>1</v>
      </c>
      <c r="L9" s="20" t="n">
        <f aca="false">ROUNDUP(L8/12,0)</f>
        <v>1</v>
      </c>
      <c r="M9" s="20" t="n">
        <f aca="false">ROUNDUP(M8/12,0)</f>
        <v>1</v>
      </c>
      <c r="N9" s="20" t="n">
        <f aca="false">ROUNDUP(N8/12,0)</f>
        <v>1</v>
      </c>
      <c r="O9" s="20" t="n">
        <f aca="false">ROUNDUP(O8/12,0)</f>
        <v>2</v>
      </c>
      <c r="P9" s="20" t="n">
        <f aca="false">ROUNDUP(P8/12,0)</f>
        <v>2</v>
      </c>
      <c r="Q9" s="20" t="n">
        <f aca="false">ROUNDUP(Q8/12,0)</f>
        <v>2</v>
      </c>
      <c r="R9" s="20" t="n">
        <f aca="false">ROUNDUP(R8/12,0)</f>
        <v>2</v>
      </c>
      <c r="S9" s="20" t="n">
        <f aca="false">ROUNDUP(S8/12,0)</f>
        <v>2</v>
      </c>
      <c r="T9" s="20" t="n">
        <f aca="false">ROUNDUP(T8/12,0)</f>
        <v>2</v>
      </c>
      <c r="U9" s="20" t="n">
        <f aca="false">ROUNDUP(U8/12,0)</f>
        <v>2</v>
      </c>
      <c r="V9" s="20" t="n">
        <f aca="false">ROUNDUP(V8/12,0)</f>
        <v>2</v>
      </c>
      <c r="W9" s="20" t="n">
        <f aca="false">ROUNDUP(W8/12,0)</f>
        <v>2</v>
      </c>
      <c r="X9" s="20" t="n">
        <f aca="false">ROUNDUP(X8/12,0)</f>
        <v>2</v>
      </c>
      <c r="Y9" s="20" t="n">
        <f aca="false">ROUNDUP(Y8/12,0)</f>
        <v>2</v>
      </c>
      <c r="Z9" s="20" t="n">
        <f aca="false">ROUNDUP(Z8/12,0)</f>
        <v>2</v>
      </c>
      <c r="AA9" s="20" t="n">
        <f aca="false">ROUNDUP(AA8/12,0)</f>
        <v>3</v>
      </c>
      <c r="AB9" s="20" t="n">
        <f aca="false">ROUNDUP(AB8/12,0)</f>
        <v>3</v>
      </c>
      <c r="AC9" s="20" t="n">
        <f aca="false">ROUNDUP(AC8/12,0)</f>
        <v>3</v>
      </c>
      <c r="AD9" s="20" t="n">
        <f aca="false">ROUNDUP(AD8/12,0)</f>
        <v>3</v>
      </c>
      <c r="AE9" s="20" t="n">
        <f aca="false">ROUNDUP(AE8/12,0)</f>
        <v>3</v>
      </c>
      <c r="AF9" s="20" t="n">
        <f aca="false">ROUNDUP(AF8/12,0)</f>
        <v>3</v>
      </c>
      <c r="AG9" s="20" t="n">
        <f aca="false">ROUNDUP(AG8/12,0)</f>
        <v>3</v>
      </c>
      <c r="AH9" s="20" t="n">
        <f aca="false">ROUNDUP(AH8/12,0)</f>
        <v>3</v>
      </c>
      <c r="AI9" s="20" t="n">
        <f aca="false">ROUNDUP(AI8/12,0)</f>
        <v>3</v>
      </c>
      <c r="AJ9" s="20" t="n">
        <f aca="false">ROUNDUP(AJ8/12,0)</f>
        <v>3</v>
      </c>
      <c r="AK9" s="20" t="n">
        <f aca="false">ROUNDUP(AK8/12,0)</f>
        <v>3</v>
      </c>
      <c r="AL9" s="20" t="n">
        <f aca="false">ROUNDUP(AL8/12,0)</f>
        <v>3</v>
      </c>
    </row>
    <row r="10" customFormat="false" ht="15" hidden="false" customHeight="false" outlineLevel="0" collapsed="false">
      <c r="A10" s="9" t="s">
        <v>198</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row>
    <row r="11" customFormat="false" ht="15" hidden="false" customHeight="false" outlineLevel="0" collapsed="false">
      <c r="A11" s="7" t="s">
        <v>55</v>
      </c>
      <c r="B11" s="7" t="s">
        <v>200</v>
      </c>
      <c r="C11" s="21" t="n">
        <f aca="false">Inputs!$C$13*(1+$B$3)^(C$8-1)</f>
        <v>200</v>
      </c>
      <c r="D11" s="21" t="n">
        <f aca="false">Inputs!$C$13*(1+$B$3)^(D$8-1)</f>
        <v>208</v>
      </c>
      <c r="E11" s="21" t="n">
        <f aca="false">Inputs!$C$13*(1+$B$3)^(E$8-1)</f>
        <v>216.32</v>
      </c>
      <c r="F11" s="21" t="n">
        <f aca="false">Inputs!$C$13*(1+$B$3)^(F$8-1)</f>
        <v>224.9728</v>
      </c>
      <c r="G11" s="21" t="n">
        <f aca="false">Inputs!$C$13*(1+$B$3)^(G$8-1)</f>
        <v>233.971712</v>
      </c>
      <c r="H11" s="21" t="n">
        <f aca="false">Inputs!$C$13*(1+$B$3)^(H$8-1)</f>
        <v>243.33058048</v>
      </c>
      <c r="I11" s="21" t="n">
        <f aca="false">Inputs!$C$13*(1+$B$3)^(I$8-1)</f>
        <v>253.0638036992</v>
      </c>
      <c r="J11" s="21" t="n">
        <f aca="false">Inputs!$C$13*(1+$B$3)^(J$8-1)</f>
        <v>263.186355847168</v>
      </c>
      <c r="K11" s="21" t="n">
        <f aca="false">Inputs!$C$13*(1+$B$3)^(K$8-1)</f>
        <v>273.713810081055</v>
      </c>
      <c r="L11" s="21" t="n">
        <f aca="false">Inputs!$C$13*(1+$B$3)^(L$8-1)</f>
        <v>284.662362484297</v>
      </c>
      <c r="M11" s="21" t="n">
        <f aca="false">Inputs!$C$13*(1+$B$3)^(M$8-1)</f>
        <v>296.048856983669</v>
      </c>
      <c r="N11" s="21" t="n">
        <f aca="false">Inputs!$C$13*(1+$B$3)^(N$8-1)</f>
        <v>307.890811263016</v>
      </c>
      <c r="O11" s="21" t="n">
        <f aca="false">Inputs!$C$13*(1+$B$3)^(O$8-1)</f>
        <v>320.206443713536</v>
      </c>
      <c r="P11" s="21" t="n">
        <f aca="false">Inputs!$C$13*(1+$B$3)^(P$8-1)</f>
        <v>333.014701462078</v>
      </c>
      <c r="Q11" s="21" t="n">
        <f aca="false">Inputs!$C$13*(1+$B$3)^(Q$8-1)</f>
        <v>346.335289520561</v>
      </c>
      <c r="R11" s="21" t="n">
        <f aca="false">Inputs!$C$13*(1+$B$3)^(R$8-1)</f>
        <v>360.188701101383</v>
      </c>
      <c r="S11" s="21" t="n">
        <f aca="false">Inputs!$C$13*(1+$B$3)^(S$8-1)</f>
        <v>374.596249145439</v>
      </c>
      <c r="T11" s="21" t="n">
        <f aca="false">Inputs!$C$13*(1+$B$3)^(T$8-1)</f>
        <v>389.580099111256</v>
      </c>
      <c r="U11" s="21" t="n">
        <f aca="false">Inputs!$C$13*(1+$B$3)^(U$8-1)</f>
        <v>405.163303075707</v>
      </c>
      <c r="V11" s="21" t="n">
        <f aca="false">Inputs!$C$13*(1+$B$3)^(V$8-1)</f>
        <v>421.369835198735</v>
      </c>
      <c r="W11" s="21" t="n">
        <f aca="false">Inputs!$C$13*(1+$B$3)^(W$8-1)</f>
        <v>438.224628606684</v>
      </c>
      <c r="X11" s="21" t="n">
        <f aca="false">Inputs!$C$13*(1+$B$3)^(X$8-1)</f>
        <v>455.753613750952</v>
      </c>
      <c r="Y11" s="21" t="n">
        <f aca="false">Inputs!$C$13*(1+$B$3)^(Y$8-1)</f>
        <v>473.98375830099</v>
      </c>
      <c r="Z11" s="21" t="n">
        <f aca="false">Inputs!$C$13*(1+$B$3)^(Z$8-1)</f>
        <v>492.943108633029</v>
      </c>
      <c r="AA11" s="21" t="n">
        <f aca="false">Inputs!$C$13*(1+$B$3)^(AA$8-1)</f>
        <v>512.66083297835</v>
      </c>
      <c r="AB11" s="21" t="n">
        <f aca="false">Inputs!$C$13*(1+$B$3)^(AB$8-1)</f>
        <v>533.167266297484</v>
      </c>
      <c r="AC11" s="21" t="n">
        <f aca="false">Inputs!$C$13*(1+$B$3)^(AC$8-1)</f>
        <v>554.493956949384</v>
      </c>
      <c r="AD11" s="21" t="n">
        <f aca="false">Inputs!$C$13*(1+$B$3)^(AD$8-1)</f>
        <v>576.673715227359</v>
      </c>
      <c r="AE11" s="21" t="n">
        <f aca="false">Inputs!$C$13*(1+$B$3)^(AE$8-1)</f>
        <v>599.740663836454</v>
      </c>
      <c r="AF11" s="21" t="n">
        <f aca="false">Inputs!$C$13*(1+$B$3)^(AF$8-1)</f>
        <v>623.730290389912</v>
      </c>
      <c r="AG11" s="21" t="n">
        <f aca="false">Inputs!$C$13*(1+$B$3)^(AG$8-1)</f>
        <v>648.679502005508</v>
      </c>
      <c r="AH11" s="21" t="n">
        <f aca="false">Inputs!$C$13*(1+$B$3)^(AH$8-1)</f>
        <v>674.626682085729</v>
      </c>
      <c r="AI11" s="21" t="n">
        <f aca="false">Inputs!$C$13*(1+$B$3)^(AI$8-1)</f>
        <v>701.611749369158</v>
      </c>
      <c r="AJ11" s="21" t="n">
        <f aca="false">Inputs!$C$13*(1+$B$3)^(AJ$8-1)</f>
        <v>729.676219343924</v>
      </c>
      <c r="AK11" s="21" t="n">
        <f aca="false">Inputs!$C$13*(1+$B$3)^(AK$8-1)</f>
        <v>758.863268117681</v>
      </c>
      <c r="AL11" s="21" t="n">
        <f aca="false">Inputs!$C$13*(1+$B$3)^(AL$8-1)</f>
        <v>789.217798842388</v>
      </c>
    </row>
    <row r="12" customFormat="false" ht="15" hidden="false" customHeight="false" outlineLevel="0" collapsed="false">
      <c r="A12" s="7" t="s">
        <v>58</v>
      </c>
      <c r="B12" s="7" t="s">
        <v>200</v>
      </c>
      <c r="C12" s="21" t="n">
        <f aca="false">Inputs!$C$14*(1+$B$4)^(C$8-1)</f>
        <v>2000</v>
      </c>
      <c r="D12" s="21" t="n">
        <f aca="false">Inputs!$C$14*(1+$B$4)^(D$8-1)</f>
        <v>2020</v>
      </c>
      <c r="E12" s="21" t="n">
        <f aca="false">Inputs!$C$14*(1+$B$4)^(E$8-1)</f>
        <v>2040.2</v>
      </c>
      <c r="F12" s="21" t="n">
        <f aca="false">Inputs!$C$14*(1+$B$4)^(F$8-1)</f>
        <v>2060.602</v>
      </c>
      <c r="G12" s="21" t="n">
        <f aca="false">Inputs!$C$14*(1+$B$4)^(G$8-1)</f>
        <v>2081.20802</v>
      </c>
      <c r="H12" s="21" t="n">
        <f aca="false">Inputs!$C$14*(1+$B$4)^(H$8-1)</f>
        <v>2102.0201002</v>
      </c>
      <c r="I12" s="21" t="n">
        <f aca="false">Inputs!$C$14*(1+$B$4)^(I$8-1)</f>
        <v>2123.040301202</v>
      </c>
      <c r="J12" s="21" t="n">
        <f aca="false">Inputs!$C$14*(1+$B$4)^(J$8-1)</f>
        <v>2144.27070421402</v>
      </c>
      <c r="K12" s="21" t="n">
        <f aca="false">Inputs!$C$14*(1+$B$4)^(K$8-1)</f>
        <v>2165.71341125616</v>
      </c>
      <c r="L12" s="21" t="n">
        <f aca="false">Inputs!$C$14*(1+$B$4)^(L$8-1)</f>
        <v>2187.37054536872</v>
      </c>
      <c r="M12" s="21" t="n">
        <f aca="false">Inputs!$C$14*(1+$B$4)^(M$8-1)</f>
        <v>2209.24425082241</v>
      </c>
      <c r="N12" s="21" t="n">
        <f aca="false">Inputs!$C$14*(1+$B$4)^(N$8-1)</f>
        <v>2231.33669333063</v>
      </c>
      <c r="O12" s="21" t="n">
        <f aca="false">Inputs!$C$14*(1+$B$4)^(O$8-1)</f>
        <v>2253.65006026394</v>
      </c>
      <c r="P12" s="21" t="n">
        <f aca="false">Inputs!$C$14*(1+$B$4)^(P$8-1)</f>
        <v>2276.18656086658</v>
      </c>
      <c r="Q12" s="21" t="n">
        <f aca="false">Inputs!$C$14*(1+$B$4)^(Q$8-1)</f>
        <v>2298.94842647525</v>
      </c>
      <c r="R12" s="21" t="n">
        <f aca="false">Inputs!$C$14*(1+$B$4)^(R$8-1)</f>
        <v>2321.93791074</v>
      </c>
      <c r="S12" s="21" t="n">
        <f aca="false">Inputs!$C$14*(1+$B$4)^(S$8-1)</f>
        <v>2345.1572898474</v>
      </c>
      <c r="T12" s="21" t="n">
        <f aca="false">Inputs!$C$14*(1+$B$4)^(T$8-1)</f>
        <v>2368.60886274587</v>
      </c>
      <c r="U12" s="21" t="n">
        <f aca="false">Inputs!$C$14*(1+$B$4)^(U$8-1)</f>
        <v>2392.29495137333</v>
      </c>
      <c r="V12" s="21" t="n">
        <f aca="false">Inputs!$C$14*(1+$B$4)^(V$8-1)</f>
        <v>2416.21790088706</v>
      </c>
      <c r="W12" s="21" t="n">
        <f aca="false">Inputs!$C$14*(1+$B$4)^(W$8-1)</f>
        <v>2440.38007989593</v>
      </c>
      <c r="X12" s="21" t="n">
        <f aca="false">Inputs!$C$14*(1+$B$4)^(X$8-1)</f>
        <v>2464.78388069489</v>
      </c>
      <c r="Y12" s="21" t="n">
        <f aca="false">Inputs!$C$14*(1+$B$4)^(Y$8-1)</f>
        <v>2489.43171950184</v>
      </c>
      <c r="Z12" s="21" t="n">
        <f aca="false">Inputs!$C$14*(1+$B$4)^(Z$8-1)</f>
        <v>2514.32603669686</v>
      </c>
      <c r="AA12" s="21" t="n">
        <f aca="false">Inputs!$C$14*(1+$B$4)^(AA$8-1)</f>
        <v>2539.46929706383</v>
      </c>
      <c r="AB12" s="21" t="n">
        <f aca="false">Inputs!$C$14*(1+$B$4)^(AB$8-1)</f>
        <v>2564.86399003447</v>
      </c>
      <c r="AC12" s="21" t="n">
        <f aca="false">Inputs!$C$14*(1+$B$4)^(AC$8-1)</f>
        <v>2590.51262993481</v>
      </c>
      <c r="AD12" s="21" t="n">
        <f aca="false">Inputs!$C$14*(1+$B$4)^(AD$8-1)</f>
        <v>2616.41775623416</v>
      </c>
      <c r="AE12" s="21" t="n">
        <f aca="false">Inputs!$C$14*(1+$B$4)^(AE$8-1)</f>
        <v>2642.5819337965</v>
      </c>
      <c r="AF12" s="21" t="n">
        <f aca="false">Inputs!$C$14*(1+$B$4)^(AF$8-1)</f>
        <v>2669.00775313447</v>
      </c>
      <c r="AG12" s="21" t="n">
        <f aca="false">Inputs!$C$14*(1+$B$4)^(AG$8-1)</f>
        <v>2695.69783066581</v>
      </c>
      <c r="AH12" s="21" t="n">
        <f aca="false">Inputs!$C$14*(1+$B$4)^(AH$8-1)</f>
        <v>2722.65480897247</v>
      </c>
      <c r="AI12" s="21" t="n">
        <f aca="false">Inputs!$C$14*(1+$B$4)^(AI$8-1)</f>
        <v>2749.88135706219</v>
      </c>
      <c r="AJ12" s="21" t="n">
        <f aca="false">Inputs!$C$14*(1+$B$4)^(AJ$8-1)</f>
        <v>2777.38017063282</v>
      </c>
      <c r="AK12" s="21" t="n">
        <f aca="false">Inputs!$C$14*(1+$B$4)^(AK$8-1)</f>
        <v>2805.15397233915</v>
      </c>
      <c r="AL12" s="21" t="n">
        <f aca="false">Inputs!$C$14*(1+$B$4)^(AL$8-1)</f>
        <v>2833.20551206254</v>
      </c>
    </row>
    <row r="13" customFormat="false" ht="15" hidden="false" customHeight="false" outlineLevel="0" collapsed="false">
      <c r="A13" s="7" t="s">
        <v>61</v>
      </c>
      <c r="B13" s="7" t="s">
        <v>200</v>
      </c>
      <c r="C13" s="21" t="n">
        <f aca="false">C11*C12</f>
        <v>400000</v>
      </c>
      <c r="D13" s="21" t="n">
        <f aca="false">D11*D12</f>
        <v>420160</v>
      </c>
      <c r="E13" s="21" t="n">
        <f aca="false">E11*E12</f>
        <v>441336.064</v>
      </c>
      <c r="F13" s="21" t="n">
        <f aca="false">F11*F12</f>
        <v>463579.4016256</v>
      </c>
      <c r="G13" s="21" t="n">
        <f aca="false">G11*G12</f>
        <v>486943.80346753</v>
      </c>
      <c r="H13" s="21" t="n">
        <f aca="false">H11*H12</f>
        <v>511485.771162294</v>
      </c>
      <c r="I13" s="21" t="n">
        <f aca="false">I11*I12</f>
        <v>537264.654028874</v>
      </c>
      <c r="J13" s="21" t="n">
        <f aca="false">J11*J12</f>
        <v>564342.792591929</v>
      </c>
      <c r="K13" s="21" t="n">
        <f aca="false">K11*K12</f>
        <v>592785.669338562</v>
      </c>
      <c r="L13" s="21" t="n">
        <f aca="false">L11*L12</f>
        <v>622662.067073225</v>
      </c>
      <c r="M13" s="21" t="n">
        <f aca="false">M11*M12</f>
        <v>654044.235253716</v>
      </c>
      <c r="N13" s="21" t="n">
        <f aca="false">N11*N12</f>
        <v>687008.064710503</v>
      </c>
      <c r="O13" s="21" t="n">
        <f aca="false">O11*O12</f>
        <v>721633.271171913</v>
      </c>
      <c r="P13" s="21" t="n">
        <f aca="false">P11*P12</f>
        <v>758003.588038977</v>
      </c>
      <c r="Q13" s="21" t="n">
        <f aca="false">Q11*Q12</f>
        <v>796206.968876142</v>
      </c>
      <c r="R13" s="21" t="n">
        <f aca="false">R11*R12</f>
        <v>836335.800107499</v>
      </c>
      <c r="S13" s="21" t="n">
        <f aca="false">S11*S12</f>
        <v>878487.124432917</v>
      </c>
      <c r="T13" s="21" t="n">
        <f aca="false">T11*T12</f>
        <v>922762.875504336</v>
      </c>
      <c r="U13" s="21" t="n">
        <f aca="false">U11*U12</f>
        <v>969270.124429755</v>
      </c>
      <c r="V13" s="21" t="n">
        <f aca="false">V11*V12</f>
        <v>1018121.33870101</v>
      </c>
      <c r="W13" s="21" t="n">
        <f aca="false">W11*W12</f>
        <v>1069434.65417155</v>
      </c>
      <c r="X13" s="21" t="n">
        <f aca="false">X11*X12</f>
        <v>1123334.16074179</v>
      </c>
      <c r="Y13" s="21" t="n">
        <f aca="false">Y11*Y12</f>
        <v>1179950.20244318</v>
      </c>
      <c r="Z13" s="21" t="n">
        <f aca="false">Z11*Z12</f>
        <v>1239419.69264631</v>
      </c>
      <c r="AA13" s="21" t="n">
        <f aca="false">AA11*AA12</f>
        <v>1301886.44515569</v>
      </c>
      <c r="AB13" s="21" t="n">
        <f aca="false">AB11*AB12</f>
        <v>1367501.52199154</v>
      </c>
      <c r="AC13" s="21" t="n">
        <f aca="false">AC11*AC12</f>
        <v>1436423.59869991</v>
      </c>
      <c r="AD13" s="21" t="n">
        <f aca="false">AD11*AD12</f>
        <v>1508819.34807439</v>
      </c>
      <c r="AE13" s="21" t="n">
        <f aca="false">AE11*AE12</f>
        <v>1584863.84321733</v>
      </c>
      <c r="AF13" s="21" t="n">
        <f aca="false">AF11*AF12</f>
        <v>1664740.98091549</v>
      </c>
      <c r="AG13" s="21" t="n">
        <f aca="false">AG11*AG12</f>
        <v>1748643.92635363</v>
      </c>
      <c r="AH13" s="21" t="n">
        <f aca="false">AH11*AH12</f>
        <v>1836775.58024185</v>
      </c>
      <c r="AI13" s="21" t="n">
        <f aca="false">AI11*AI12</f>
        <v>1929349.06948604</v>
      </c>
      <c r="AJ13" s="21" t="n">
        <f aca="false">AJ11*AJ12</f>
        <v>2026588.26258814</v>
      </c>
      <c r="AK13" s="21" t="n">
        <f aca="false">AK11*AK12</f>
        <v>2128728.31102258</v>
      </c>
      <c r="AL13" s="21" t="n">
        <f aca="false">AL11*AL12</f>
        <v>2236016.21789812</v>
      </c>
    </row>
    <row r="14" customFormat="false" ht="15" hidden="false" customHeight="false" outlineLevel="0" collapsed="false">
      <c r="A14" s="7" t="s">
        <v>269</v>
      </c>
      <c r="B14" s="7" t="s">
        <v>205</v>
      </c>
      <c r="C14" s="21" t="n">
        <f aca="false">Inputs!$C$15</f>
        <v>4000</v>
      </c>
      <c r="D14" s="21" t="n">
        <f aca="false">Inputs!$C$15</f>
        <v>4000</v>
      </c>
      <c r="E14" s="21" t="n">
        <f aca="false">Inputs!$C$15</f>
        <v>4000</v>
      </c>
      <c r="F14" s="21" t="n">
        <f aca="false">Inputs!$C$15</f>
        <v>4000</v>
      </c>
      <c r="G14" s="21" t="n">
        <f aca="false">Inputs!$C$15</f>
        <v>4000</v>
      </c>
      <c r="H14" s="21" t="n">
        <f aca="false">Inputs!$C$15</f>
        <v>4000</v>
      </c>
      <c r="I14" s="21" t="n">
        <f aca="false">Inputs!$C$15</f>
        <v>4000</v>
      </c>
      <c r="J14" s="21" t="n">
        <f aca="false">Inputs!$C$15</f>
        <v>4000</v>
      </c>
      <c r="K14" s="21" t="n">
        <f aca="false">Inputs!$C$15</f>
        <v>4000</v>
      </c>
      <c r="L14" s="21" t="n">
        <f aca="false">Inputs!$C$15</f>
        <v>4000</v>
      </c>
      <c r="M14" s="21" t="n">
        <f aca="false">Inputs!$C$15</f>
        <v>4000</v>
      </c>
      <c r="N14" s="21" t="n">
        <f aca="false">Inputs!$C$15</f>
        <v>4000</v>
      </c>
      <c r="O14" s="21" t="n">
        <f aca="false">Inputs!$C$15</f>
        <v>4000</v>
      </c>
      <c r="P14" s="21" t="n">
        <f aca="false">Inputs!$C$15</f>
        <v>4000</v>
      </c>
      <c r="Q14" s="21" t="n">
        <f aca="false">Inputs!$C$15</f>
        <v>4000</v>
      </c>
      <c r="R14" s="21" t="n">
        <f aca="false">Inputs!$C$15</f>
        <v>4000</v>
      </c>
      <c r="S14" s="21" t="n">
        <f aca="false">Inputs!$C$15</f>
        <v>4000</v>
      </c>
      <c r="T14" s="21" t="n">
        <f aca="false">Inputs!$C$15</f>
        <v>4000</v>
      </c>
      <c r="U14" s="21" t="n">
        <f aca="false">Inputs!$C$15</f>
        <v>4000</v>
      </c>
      <c r="V14" s="21" t="n">
        <f aca="false">Inputs!$C$15</f>
        <v>4000</v>
      </c>
      <c r="W14" s="21" t="n">
        <f aca="false">Inputs!$C$15</f>
        <v>4000</v>
      </c>
      <c r="X14" s="21" t="n">
        <f aca="false">Inputs!$C$15</f>
        <v>4000</v>
      </c>
      <c r="Y14" s="21" t="n">
        <f aca="false">Inputs!$C$15</f>
        <v>4000</v>
      </c>
      <c r="Z14" s="21" t="n">
        <f aca="false">Inputs!$C$15</f>
        <v>4000</v>
      </c>
      <c r="AA14" s="21" t="n">
        <f aca="false">Inputs!$C$15</f>
        <v>4000</v>
      </c>
      <c r="AB14" s="21" t="n">
        <f aca="false">Inputs!$C$15</f>
        <v>4000</v>
      </c>
      <c r="AC14" s="21" t="n">
        <f aca="false">Inputs!$C$15</f>
        <v>4000</v>
      </c>
      <c r="AD14" s="21" t="n">
        <f aca="false">Inputs!$C$15</f>
        <v>4000</v>
      </c>
      <c r="AE14" s="21" t="n">
        <f aca="false">Inputs!$C$15</f>
        <v>4000</v>
      </c>
      <c r="AF14" s="21" t="n">
        <f aca="false">Inputs!$C$15</f>
        <v>4000</v>
      </c>
      <c r="AG14" s="21" t="n">
        <f aca="false">Inputs!$C$15</f>
        <v>4000</v>
      </c>
      <c r="AH14" s="21" t="n">
        <f aca="false">Inputs!$C$15</f>
        <v>4000</v>
      </c>
      <c r="AI14" s="21" t="n">
        <f aca="false">Inputs!$C$15</f>
        <v>4000</v>
      </c>
      <c r="AJ14" s="21" t="n">
        <f aca="false">Inputs!$C$15</f>
        <v>4000</v>
      </c>
      <c r="AK14" s="21" t="n">
        <f aca="false">Inputs!$C$15</f>
        <v>4000</v>
      </c>
      <c r="AL14" s="21" t="n">
        <f aca="false">Inputs!$C$15</f>
        <v>4000</v>
      </c>
    </row>
    <row r="15" customFormat="false" ht="15" hidden="false" customHeight="false" outlineLevel="0" collapsed="false">
      <c r="A15" s="7" t="s">
        <v>64</v>
      </c>
      <c r="B15" s="7" t="s">
        <v>270</v>
      </c>
      <c r="C15" s="21" t="n">
        <f aca="false">C13*C14/1000</f>
        <v>1600000</v>
      </c>
      <c r="D15" s="21" t="n">
        <f aca="false">D13*D14/1000</f>
        <v>1680640</v>
      </c>
      <c r="E15" s="21" t="n">
        <f aca="false">E13*E14/1000</f>
        <v>1765344.256</v>
      </c>
      <c r="F15" s="21" t="n">
        <f aca="false">F13*F14/1000</f>
        <v>1854317.6065024</v>
      </c>
      <c r="G15" s="21" t="n">
        <f aca="false">G13*G14/1000</f>
        <v>1947775.21387012</v>
      </c>
      <c r="H15" s="21" t="n">
        <f aca="false">H13*H14/1000</f>
        <v>2045943.08464918</v>
      </c>
      <c r="I15" s="21" t="n">
        <f aca="false">I13*I14/1000</f>
        <v>2149058.61611549</v>
      </c>
      <c r="J15" s="21" t="n">
        <f aca="false">J13*J14/1000</f>
        <v>2257371.17036772</v>
      </c>
      <c r="K15" s="21" t="n">
        <f aca="false">K13*K14/1000</f>
        <v>2371142.67735425</v>
      </c>
      <c r="L15" s="21" t="n">
        <f aca="false">L13*L14/1000</f>
        <v>2490648.2682929</v>
      </c>
      <c r="M15" s="21" t="n">
        <f aca="false">M13*M14/1000</f>
        <v>2616176.94101486</v>
      </c>
      <c r="N15" s="21" t="n">
        <f aca="false">N13*N14/1000</f>
        <v>2748032.25884201</v>
      </c>
      <c r="O15" s="21" t="n">
        <f aca="false">O13*O14/1000</f>
        <v>2886533.08468765</v>
      </c>
      <c r="P15" s="21" t="n">
        <f aca="false">P13*P14/1000</f>
        <v>3032014.35215591</v>
      </c>
      <c r="Q15" s="21" t="n">
        <f aca="false">Q13*Q14/1000</f>
        <v>3184827.87550457</v>
      </c>
      <c r="R15" s="21" t="n">
        <f aca="false">R13*R14/1000</f>
        <v>3345343.20043</v>
      </c>
      <c r="S15" s="21" t="n">
        <f aca="false">S13*S14/1000</f>
        <v>3513948.49773167</v>
      </c>
      <c r="T15" s="21" t="n">
        <f aca="false">T13*T14/1000</f>
        <v>3691051.50201735</v>
      </c>
      <c r="U15" s="21" t="n">
        <f aca="false">U13*U14/1000</f>
        <v>3877080.49771902</v>
      </c>
      <c r="V15" s="21" t="n">
        <f aca="false">V13*V14/1000</f>
        <v>4072485.35480406</v>
      </c>
      <c r="W15" s="21" t="n">
        <f aca="false">W13*W14/1000</f>
        <v>4277738.61668618</v>
      </c>
      <c r="X15" s="21" t="n">
        <f aca="false">X13*X14/1000</f>
        <v>4493336.64296717</v>
      </c>
      <c r="Y15" s="21" t="n">
        <f aca="false">Y13*Y14/1000</f>
        <v>4719800.80977271</v>
      </c>
      <c r="Z15" s="21" t="n">
        <f aca="false">Z13*Z14/1000</f>
        <v>4957678.77058526</v>
      </c>
      <c r="AA15" s="21" t="n">
        <f aca="false">AA13*AA14/1000</f>
        <v>5207545.78062276</v>
      </c>
      <c r="AB15" s="21" t="n">
        <f aca="false">AB13*AB14/1000</f>
        <v>5470006.08796614</v>
      </c>
      <c r="AC15" s="21" t="n">
        <f aca="false">AC13*AC14/1000</f>
        <v>5745694.39479964</v>
      </c>
      <c r="AD15" s="21" t="n">
        <f aca="false">AD13*AD14/1000</f>
        <v>6035277.39229754</v>
      </c>
      <c r="AE15" s="21" t="n">
        <f aca="false">AE13*AE14/1000</f>
        <v>6339455.37286933</v>
      </c>
      <c r="AF15" s="21" t="n">
        <f aca="false">AF13*AF14/1000</f>
        <v>6658963.92366195</v>
      </c>
      <c r="AG15" s="21" t="n">
        <f aca="false">AG13*AG14/1000</f>
        <v>6994575.70541451</v>
      </c>
      <c r="AH15" s="21" t="n">
        <f aca="false">AH13*AH14/1000</f>
        <v>7347102.3209674</v>
      </c>
      <c r="AI15" s="21" t="n">
        <f aca="false">AI13*AI14/1000</f>
        <v>7717396.27794416</v>
      </c>
      <c r="AJ15" s="21" t="n">
        <f aca="false">AJ13*AJ14/1000</f>
        <v>8106353.05035255</v>
      </c>
      <c r="AK15" s="21" t="n">
        <f aca="false">AK13*AK14/1000</f>
        <v>8514913.24409032</v>
      </c>
      <c r="AL15" s="21" t="n">
        <f aca="false">AL13*AL14/1000</f>
        <v>8944064.87159247</v>
      </c>
    </row>
    <row r="16" customFormat="false" ht="15" hidden="false" customHeight="false" outlineLevel="0" collapsed="false">
      <c r="A16" s="9" t="s">
        <v>271</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row>
    <row r="17" customFormat="false" ht="15" hidden="false" customHeight="false" outlineLevel="0" collapsed="false">
      <c r="A17" s="7" t="s">
        <v>272</v>
      </c>
      <c r="B17" s="7" t="s">
        <v>270</v>
      </c>
      <c r="C17" s="21" t="n">
        <f aca="false">C15*(1-Inputs!$C$18)</f>
        <v>960000</v>
      </c>
      <c r="D17" s="21" t="n">
        <f aca="false">D15*(1-Inputs!$C$18)</f>
        <v>1008384</v>
      </c>
      <c r="E17" s="21" t="n">
        <f aca="false">E15*(1-Inputs!$C$18)</f>
        <v>1059206.5536</v>
      </c>
      <c r="F17" s="21" t="n">
        <f aca="false">F15*(1-Inputs!$C$18)</f>
        <v>1112590.56390144</v>
      </c>
      <c r="G17" s="21" t="n">
        <f aca="false">G15*(1-Inputs!$C$18)</f>
        <v>1168665.12832207</v>
      </c>
      <c r="H17" s="21" t="n">
        <f aca="false">H15*(1-Inputs!$C$18)</f>
        <v>1227565.85078951</v>
      </c>
      <c r="I17" s="21" t="n">
        <f aca="false">I15*(1-Inputs!$C$18)</f>
        <v>1289435.1696693</v>
      </c>
      <c r="J17" s="21" t="n">
        <f aca="false">J15*(1-Inputs!$C$18)</f>
        <v>1354422.70222063</v>
      </c>
      <c r="K17" s="21" t="n">
        <f aca="false">K15*(1-Inputs!$C$18)</f>
        <v>1422685.60641255</v>
      </c>
      <c r="L17" s="21" t="n">
        <f aca="false">L15*(1-Inputs!$C$18)</f>
        <v>1494388.96097574</v>
      </c>
      <c r="M17" s="21" t="n">
        <f aca="false">M15*(1-Inputs!$C$18)</f>
        <v>1569706.16460892</v>
      </c>
      <c r="N17" s="21" t="n">
        <f aca="false">N15*(1-Inputs!$C$18)</f>
        <v>1648819.35530521</v>
      </c>
      <c r="O17" s="21" t="n">
        <f aca="false">O15*(1-Inputs!$C$18)</f>
        <v>1731919.85081259</v>
      </c>
      <c r="P17" s="21" t="n">
        <f aca="false">P15*(1-Inputs!$C$18)</f>
        <v>1819208.61129355</v>
      </c>
      <c r="Q17" s="21" t="n">
        <f aca="false">Q15*(1-Inputs!$C$18)</f>
        <v>1910896.72530274</v>
      </c>
      <c r="R17" s="21" t="n">
        <f aca="false">R15*(1-Inputs!$C$18)</f>
        <v>2007205.920258</v>
      </c>
      <c r="S17" s="21" t="n">
        <f aca="false">S15*(1-Inputs!$C$18)</f>
        <v>2108369.098639</v>
      </c>
      <c r="T17" s="21" t="n">
        <f aca="false">T15*(1-Inputs!$C$18)</f>
        <v>2214630.90121041</v>
      </c>
      <c r="U17" s="21" t="n">
        <f aca="false">U15*(1-Inputs!$C$18)</f>
        <v>2326248.29863141</v>
      </c>
      <c r="V17" s="21" t="n">
        <f aca="false">V15*(1-Inputs!$C$18)</f>
        <v>2443491.21288244</v>
      </c>
      <c r="W17" s="21" t="n">
        <f aca="false">W15*(1-Inputs!$C$18)</f>
        <v>2566643.17001171</v>
      </c>
      <c r="X17" s="21" t="n">
        <f aca="false">X15*(1-Inputs!$C$18)</f>
        <v>2696001.9857803</v>
      </c>
      <c r="Y17" s="21" t="n">
        <f aca="false">Y15*(1-Inputs!$C$18)</f>
        <v>2831880.48586363</v>
      </c>
      <c r="Z17" s="21" t="n">
        <f aca="false">Z15*(1-Inputs!$C$18)</f>
        <v>2974607.26235115</v>
      </c>
      <c r="AA17" s="21" t="n">
        <f aca="false">AA15*(1-Inputs!$C$18)</f>
        <v>3124527.46837365</v>
      </c>
      <c r="AB17" s="21" t="n">
        <f aca="false">AB15*(1-Inputs!$C$18)</f>
        <v>3282003.65277969</v>
      </c>
      <c r="AC17" s="21" t="n">
        <f aca="false">AC15*(1-Inputs!$C$18)</f>
        <v>3447416.63687978</v>
      </c>
      <c r="AD17" s="21" t="n">
        <f aca="false">AD15*(1-Inputs!$C$18)</f>
        <v>3621166.43537852</v>
      </c>
      <c r="AE17" s="21" t="n">
        <f aca="false">AE15*(1-Inputs!$C$18)</f>
        <v>3803673.2237216</v>
      </c>
      <c r="AF17" s="21" t="n">
        <f aca="false">AF15*(1-Inputs!$C$18)</f>
        <v>3995378.35419717</v>
      </c>
      <c r="AG17" s="21" t="n">
        <f aca="false">AG15*(1-Inputs!$C$18)</f>
        <v>4196745.42324871</v>
      </c>
      <c r="AH17" s="21" t="n">
        <f aca="false">AH15*(1-Inputs!$C$18)</f>
        <v>4408261.39258044</v>
      </c>
      <c r="AI17" s="21" t="n">
        <f aca="false">AI15*(1-Inputs!$C$18)</f>
        <v>4630437.7667665</v>
      </c>
      <c r="AJ17" s="21" t="n">
        <f aca="false">AJ15*(1-Inputs!$C$18)</f>
        <v>4863811.83021153</v>
      </c>
      <c r="AK17" s="21" t="n">
        <f aca="false">AK15*(1-Inputs!$C$18)</f>
        <v>5108947.94645419</v>
      </c>
      <c r="AL17" s="21" t="n">
        <f aca="false">AL15*(1-Inputs!$C$18)</f>
        <v>5366438.92295548</v>
      </c>
    </row>
    <row r="18" customFormat="false" ht="15" hidden="false" customHeight="false" outlineLevel="0" collapsed="false">
      <c r="A18" s="7" t="s">
        <v>273</v>
      </c>
      <c r="B18" s="7" t="s">
        <v>270</v>
      </c>
      <c r="C18" s="21" t="n">
        <f aca="false">C15*Inputs!$C$18</f>
        <v>640000</v>
      </c>
      <c r="D18" s="21" t="n">
        <f aca="false">D15*Inputs!$C$18</f>
        <v>672256</v>
      </c>
      <c r="E18" s="21" t="n">
        <f aca="false">E15*Inputs!$C$18</f>
        <v>706137.7024</v>
      </c>
      <c r="F18" s="21" t="n">
        <f aca="false">F15*Inputs!$C$18</f>
        <v>741727.04260096</v>
      </c>
      <c r="G18" s="21" t="n">
        <f aca="false">G15*Inputs!$C$18</f>
        <v>779110.085548049</v>
      </c>
      <c r="H18" s="21" t="n">
        <f aca="false">H15*Inputs!$C$18</f>
        <v>818377.23385967</v>
      </c>
      <c r="I18" s="21" t="n">
        <f aca="false">I15*Inputs!$C$18</f>
        <v>859623.446446198</v>
      </c>
      <c r="J18" s="21" t="n">
        <f aca="false">J15*Inputs!$C$18</f>
        <v>902948.468147086</v>
      </c>
      <c r="K18" s="21" t="n">
        <f aca="false">K15*Inputs!$C$18</f>
        <v>948457.070941699</v>
      </c>
      <c r="L18" s="21" t="n">
        <f aca="false">L15*Inputs!$C$18</f>
        <v>996259.307317161</v>
      </c>
      <c r="M18" s="21" t="n">
        <f aca="false">M15*Inputs!$C$18</f>
        <v>1046470.77640595</v>
      </c>
      <c r="N18" s="21" t="n">
        <f aca="false">N15*Inputs!$C$18</f>
        <v>1099212.90353681</v>
      </c>
      <c r="O18" s="21" t="n">
        <f aca="false">O15*Inputs!$C$18</f>
        <v>1154613.23387506</v>
      </c>
      <c r="P18" s="21" t="n">
        <f aca="false">P15*Inputs!$C$18</f>
        <v>1212805.74086236</v>
      </c>
      <c r="Q18" s="21" t="n">
        <f aca="false">Q15*Inputs!$C$18</f>
        <v>1273931.15020183</v>
      </c>
      <c r="R18" s="21" t="n">
        <f aca="false">R15*Inputs!$C$18</f>
        <v>1338137.280172</v>
      </c>
      <c r="S18" s="21" t="n">
        <f aca="false">S15*Inputs!$C$18</f>
        <v>1405579.39909267</v>
      </c>
      <c r="T18" s="21" t="n">
        <f aca="false">T15*Inputs!$C$18</f>
        <v>1476420.60080694</v>
      </c>
      <c r="U18" s="21" t="n">
        <f aca="false">U15*Inputs!$C$18</f>
        <v>1550832.19908761</v>
      </c>
      <c r="V18" s="21" t="n">
        <f aca="false">V15*Inputs!$C$18</f>
        <v>1628994.14192162</v>
      </c>
      <c r="W18" s="21" t="n">
        <f aca="false">W15*Inputs!$C$18</f>
        <v>1711095.44667447</v>
      </c>
      <c r="X18" s="21" t="n">
        <f aca="false">X15*Inputs!$C$18</f>
        <v>1797334.65718687</v>
      </c>
      <c r="Y18" s="21" t="n">
        <f aca="false">Y15*Inputs!$C$18</f>
        <v>1887920.32390909</v>
      </c>
      <c r="Z18" s="21" t="n">
        <f aca="false">Z15*Inputs!$C$18</f>
        <v>1983071.5082341</v>
      </c>
      <c r="AA18" s="21" t="n">
        <f aca="false">AA15*Inputs!$C$18</f>
        <v>2083018.3122491</v>
      </c>
      <c r="AB18" s="21" t="n">
        <f aca="false">AB15*Inputs!$C$18</f>
        <v>2188002.43518646</v>
      </c>
      <c r="AC18" s="21" t="n">
        <f aca="false">AC15*Inputs!$C$18</f>
        <v>2298277.75791985</v>
      </c>
      <c r="AD18" s="21" t="n">
        <f aca="false">AD15*Inputs!$C$18</f>
        <v>2414110.95691902</v>
      </c>
      <c r="AE18" s="21" t="n">
        <f aca="false">AE15*Inputs!$C$18</f>
        <v>2535782.14914773</v>
      </c>
      <c r="AF18" s="21" t="n">
        <f aca="false">AF15*Inputs!$C$18</f>
        <v>2663585.56946478</v>
      </c>
      <c r="AG18" s="21" t="n">
        <f aca="false">AG15*Inputs!$C$18</f>
        <v>2797830.28216581</v>
      </c>
      <c r="AH18" s="21" t="n">
        <f aca="false">AH15*Inputs!$C$18</f>
        <v>2938840.92838696</v>
      </c>
      <c r="AI18" s="21" t="n">
        <f aca="false">AI15*Inputs!$C$18</f>
        <v>3086958.51117766</v>
      </c>
      <c r="AJ18" s="21" t="n">
        <f aca="false">AJ15*Inputs!$C$18</f>
        <v>3242541.22014102</v>
      </c>
      <c r="AK18" s="21" t="n">
        <f aca="false">AK15*Inputs!$C$18</f>
        <v>3405965.29763613</v>
      </c>
      <c r="AL18" s="21" t="n">
        <f aca="false">AL15*Inputs!$C$18</f>
        <v>3577625.94863699</v>
      </c>
    </row>
    <row r="19" customFormat="false" ht="15" hidden="false" customHeight="false" outlineLevel="0" collapsed="false">
      <c r="A19" s="7" t="s">
        <v>67</v>
      </c>
      <c r="B19" s="7" t="s">
        <v>209</v>
      </c>
      <c r="C19" s="22" t="n">
        <f aca="false">C17*Inputs!$C$17</f>
        <v>19200</v>
      </c>
      <c r="D19" s="22" t="n">
        <f aca="false">D17*Inputs!$C$17</f>
        <v>20167.68</v>
      </c>
      <c r="E19" s="22" t="n">
        <f aca="false">E17*Inputs!$C$17</f>
        <v>21184.131072</v>
      </c>
      <c r="F19" s="22" t="n">
        <f aca="false">F17*Inputs!$C$17</f>
        <v>22251.8112780288</v>
      </c>
      <c r="G19" s="22" t="n">
        <f aca="false">G17*Inputs!$C$17</f>
        <v>23373.3025664415</v>
      </c>
      <c r="H19" s="22" t="n">
        <f aca="false">H17*Inputs!$C$17</f>
        <v>24551.3170157901</v>
      </c>
      <c r="I19" s="22" t="n">
        <f aca="false">I17*Inputs!$C$17</f>
        <v>25788.7033933859</v>
      </c>
      <c r="J19" s="22" t="n">
        <f aca="false">J17*Inputs!$C$17</f>
        <v>27088.4540444126</v>
      </c>
      <c r="K19" s="22" t="n">
        <f aca="false">K17*Inputs!$C$17</f>
        <v>28453.712128251</v>
      </c>
      <c r="L19" s="22" t="n">
        <f aca="false">L17*Inputs!$C$17</f>
        <v>29887.7792195148</v>
      </c>
      <c r="M19" s="22" t="n">
        <f aca="false">M17*Inputs!$C$17</f>
        <v>31394.1232921784</v>
      </c>
      <c r="N19" s="22" t="n">
        <f aca="false">N17*Inputs!$C$17</f>
        <v>32976.3871061042</v>
      </c>
      <c r="O19" s="22" t="n">
        <f aca="false">O17*Inputs!$C$17</f>
        <v>34638.3970162518</v>
      </c>
      <c r="P19" s="22" t="n">
        <f aca="false">P17*Inputs!$C$17</f>
        <v>36384.1722258709</v>
      </c>
      <c r="Q19" s="22" t="n">
        <f aca="false">Q17*Inputs!$C$17</f>
        <v>38217.9345060548</v>
      </c>
      <c r="R19" s="22" t="n">
        <f aca="false">R17*Inputs!$C$17</f>
        <v>40144.11840516</v>
      </c>
      <c r="S19" s="22" t="n">
        <f aca="false">S17*Inputs!$C$17</f>
        <v>42167.38197278</v>
      </c>
      <c r="T19" s="22" t="n">
        <f aca="false">T17*Inputs!$C$17</f>
        <v>44292.6180242082</v>
      </c>
      <c r="U19" s="22" t="n">
        <f aca="false">U17*Inputs!$C$17</f>
        <v>46524.9659726283</v>
      </c>
      <c r="V19" s="22" t="n">
        <f aca="false">V17*Inputs!$C$17</f>
        <v>48869.8242576487</v>
      </c>
      <c r="W19" s="22" t="n">
        <f aca="false">W17*Inputs!$C$17</f>
        <v>51332.8634002342</v>
      </c>
      <c r="X19" s="22" t="n">
        <f aca="false">X17*Inputs!$C$17</f>
        <v>53920.039715606</v>
      </c>
      <c r="Y19" s="22" t="n">
        <f aca="false">Y17*Inputs!$C$17</f>
        <v>56637.6097172726</v>
      </c>
      <c r="Z19" s="22" t="n">
        <f aca="false">Z17*Inputs!$C$17</f>
        <v>59492.1452470231</v>
      </c>
      <c r="AA19" s="22" t="n">
        <f aca="false">AA17*Inputs!$C$17</f>
        <v>62490.5493674731</v>
      </c>
      <c r="AB19" s="22" t="n">
        <f aca="false">AB17*Inputs!$C$17</f>
        <v>65640.0730555937</v>
      </c>
      <c r="AC19" s="22" t="n">
        <f aca="false">AC17*Inputs!$C$17</f>
        <v>68948.3327375956</v>
      </c>
      <c r="AD19" s="22" t="n">
        <f aca="false">AD17*Inputs!$C$17</f>
        <v>72423.3287075705</v>
      </c>
      <c r="AE19" s="22" t="n">
        <f aca="false">AE17*Inputs!$C$17</f>
        <v>76073.464474432</v>
      </c>
      <c r="AF19" s="22" t="n">
        <f aca="false">AF17*Inputs!$C$17</f>
        <v>79907.5670839434</v>
      </c>
      <c r="AG19" s="22" t="n">
        <f aca="false">AG17*Inputs!$C$17</f>
        <v>83934.9084649741</v>
      </c>
      <c r="AH19" s="22" t="n">
        <f aca="false">AH17*Inputs!$C$17</f>
        <v>88165.2278516088</v>
      </c>
      <c r="AI19" s="22" t="n">
        <f aca="false">AI17*Inputs!$C$17</f>
        <v>92608.7553353299</v>
      </c>
      <c r="AJ19" s="22" t="n">
        <f aca="false">AJ17*Inputs!$C$17</f>
        <v>97276.2366042306</v>
      </c>
      <c r="AK19" s="22" t="n">
        <f aca="false">AK17*Inputs!$C$17</f>
        <v>102178.958929084</v>
      </c>
      <c r="AL19" s="22" t="n">
        <f aca="false">AL17*Inputs!$C$17</f>
        <v>107328.77845911</v>
      </c>
    </row>
    <row r="20" customFormat="false" ht="15" hidden="false" customHeight="false" outlineLevel="0" collapsed="false">
      <c r="A20" s="7" t="s">
        <v>274</v>
      </c>
      <c r="B20" s="7" t="s">
        <v>209</v>
      </c>
      <c r="C20" s="22" t="n">
        <f aca="false">C18*Inputs!$C$17*(1-Inputs!$C$19)</f>
        <v>10240</v>
      </c>
      <c r="D20" s="22" t="n">
        <f aca="false">D18*Inputs!$C$17*(1-Inputs!$C$19)</f>
        <v>10756.096</v>
      </c>
      <c r="E20" s="22" t="n">
        <f aca="false">E18*Inputs!$C$17*(1-Inputs!$C$19)</f>
        <v>11298.2032384</v>
      </c>
      <c r="F20" s="22" t="n">
        <f aca="false">F18*Inputs!$C$17*(1-Inputs!$C$19)</f>
        <v>11867.6326816154</v>
      </c>
      <c r="G20" s="22" t="n">
        <f aca="false">G18*Inputs!$C$17*(1-Inputs!$C$19)</f>
        <v>12465.7613687688</v>
      </c>
      <c r="H20" s="22" t="n">
        <f aca="false">H18*Inputs!$C$17*(1-Inputs!$C$19)</f>
        <v>13094.0357417547</v>
      </c>
      <c r="I20" s="22" t="n">
        <f aca="false">I18*Inputs!$C$17*(1-Inputs!$C$19)</f>
        <v>13753.9751431392</v>
      </c>
      <c r="J20" s="22" t="n">
        <f aca="false">J18*Inputs!$C$17*(1-Inputs!$C$19)</f>
        <v>14447.1754903534</v>
      </c>
      <c r="K20" s="22" t="n">
        <f aca="false">K18*Inputs!$C$17*(1-Inputs!$C$19)</f>
        <v>15175.3131350672</v>
      </c>
      <c r="L20" s="22" t="n">
        <f aca="false">L18*Inputs!$C$17*(1-Inputs!$C$19)</f>
        <v>15940.1489170746</v>
      </c>
      <c r="M20" s="22" t="n">
        <f aca="false">M18*Inputs!$C$17*(1-Inputs!$C$19)</f>
        <v>16743.5324224951</v>
      </c>
      <c r="N20" s="22" t="n">
        <f aca="false">N18*Inputs!$C$17*(1-Inputs!$C$19)</f>
        <v>17587.4064565889</v>
      </c>
      <c r="O20" s="22" t="n">
        <f aca="false">O18*Inputs!$C$17*(1-Inputs!$C$19)</f>
        <v>18473.811742001</v>
      </c>
      <c r="P20" s="22" t="n">
        <f aca="false">P18*Inputs!$C$17*(1-Inputs!$C$19)</f>
        <v>19404.8918537978</v>
      </c>
      <c r="Q20" s="22" t="n">
        <f aca="false">Q18*Inputs!$C$17*(1-Inputs!$C$19)</f>
        <v>20382.8984032292</v>
      </c>
      <c r="R20" s="22" t="n">
        <f aca="false">R18*Inputs!$C$17*(1-Inputs!$C$19)</f>
        <v>21410.196482752</v>
      </c>
      <c r="S20" s="22" t="n">
        <f aca="false">S18*Inputs!$C$17*(1-Inputs!$C$19)</f>
        <v>22489.2703854827</v>
      </c>
      <c r="T20" s="22" t="n">
        <f aca="false">T18*Inputs!$C$17*(1-Inputs!$C$19)</f>
        <v>23622.729612911</v>
      </c>
      <c r="U20" s="22" t="n">
        <f aca="false">U18*Inputs!$C$17*(1-Inputs!$C$19)</f>
        <v>24813.3151854017</v>
      </c>
      <c r="V20" s="22" t="n">
        <f aca="false">V18*Inputs!$C$17*(1-Inputs!$C$19)</f>
        <v>26063.906270746</v>
      </c>
      <c r="W20" s="22" t="n">
        <f aca="false">W18*Inputs!$C$17*(1-Inputs!$C$19)</f>
        <v>27377.5271467916</v>
      </c>
      <c r="X20" s="22" t="n">
        <f aca="false">X18*Inputs!$C$17*(1-Inputs!$C$19)</f>
        <v>28757.3545149899</v>
      </c>
      <c r="Y20" s="22" t="n">
        <f aca="false">Y18*Inputs!$C$17*(1-Inputs!$C$19)</f>
        <v>30206.7251825454</v>
      </c>
      <c r="Z20" s="22" t="n">
        <f aca="false">Z18*Inputs!$C$17*(1-Inputs!$C$19)</f>
        <v>31729.1441317457</v>
      </c>
      <c r="AA20" s="22" t="n">
        <f aca="false">AA18*Inputs!$C$17*(1-Inputs!$C$19)</f>
        <v>33328.2929959856</v>
      </c>
      <c r="AB20" s="22" t="n">
        <f aca="false">AB18*Inputs!$C$17*(1-Inputs!$C$19)</f>
        <v>35008.0389629833</v>
      </c>
      <c r="AC20" s="22" t="n">
        <f aca="false">AC18*Inputs!$C$17*(1-Inputs!$C$19)</f>
        <v>36772.4441267177</v>
      </c>
      <c r="AD20" s="22" t="n">
        <f aca="false">AD18*Inputs!$C$17*(1-Inputs!$C$19)</f>
        <v>38625.7753107043</v>
      </c>
      <c r="AE20" s="22" t="n">
        <f aca="false">AE18*Inputs!$C$17*(1-Inputs!$C$19)</f>
        <v>40572.5143863637</v>
      </c>
      <c r="AF20" s="22" t="n">
        <f aca="false">AF18*Inputs!$C$17*(1-Inputs!$C$19)</f>
        <v>42617.3691114365</v>
      </c>
      <c r="AG20" s="22" t="n">
        <f aca="false">AG18*Inputs!$C$17*(1-Inputs!$C$19)</f>
        <v>44765.2845146529</v>
      </c>
      <c r="AH20" s="22" t="n">
        <f aca="false">AH18*Inputs!$C$17*(1-Inputs!$C$19)</f>
        <v>47021.4548541914</v>
      </c>
      <c r="AI20" s="22" t="n">
        <f aca="false">AI18*Inputs!$C$17*(1-Inputs!$C$19)</f>
        <v>49391.3361788426</v>
      </c>
      <c r="AJ20" s="22" t="n">
        <f aca="false">AJ18*Inputs!$C$17*(1-Inputs!$C$19)</f>
        <v>51880.6595222563</v>
      </c>
      <c r="AK20" s="22" t="n">
        <f aca="false">AK18*Inputs!$C$17*(1-Inputs!$C$19)</f>
        <v>54495.444762178</v>
      </c>
      <c r="AL20" s="22" t="n">
        <f aca="false">AL18*Inputs!$C$17*(1-Inputs!$C$19)</f>
        <v>57242.0151781918</v>
      </c>
    </row>
    <row r="21" customFormat="false" ht="15" hidden="false" customHeight="false" outlineLevel="0" collapsed="false">
      <c r="A21" s="7" t="s">
        <v>73</v>
      </c>
      <c r="B21" s="7" t="s">
        <v>209</v>
      </c>
      <c r="C21" s="22" t="n">
        <f aca="false">C11*Inputs!$C$20</f>
        <v>0</v>
      </c>
      <c r="D21" s="22" t="n">
        <f aca="false">D11*Inputs!$C$20</f>
        <v>0</v>
      </c>
      <c r="E21" s="22" t="n">
        <f aca="false">E11*Inputs!$C$20</f>
        <v>0</v>
      </c>
      <c r="F21" s="22" t="n">
        <f aca="false">F11*Inputs!$C$20</f>
        <v>0</v>
      </c>
      <c r="G21" s="22" t="n">
        <f aca="false">G11*Inputs!$C$20</f>
        <v>0</v>
      </c>
      <c r="H21" s="22" t="n">
        <f aca="false">H11*Inputs!$C$20</f>
        <v>0</v>
      </c>
      <c r="I21" s="22" t="n">
        <f aca="false">I11*Inputs!$C$20</f>
        <v>0</v>
      </c>
      <c r="J21" s="22" t="n">
        <f aca="false">J11*Inputs!$C$20</f>
        <v>0</v>
      </c>
      <c r="K21" s="22" t="n">
        <f aca="false">K11*Inputs!$C$20</f>
        <v>0</v>
      </c>
      <c r="L21" s="22" t="n">
        <f aca="false">L11*Inputs!$C$20</f>
        <v>0</v>
      </c>
      <c r="M21" s="22" t="n">
        <f aca="false">M11*Inputs!$C$20</f>
        <v>0</v>
      </c>
      <c r="N21" s="22" t="n">
        <f aca="false">N11*Inputs!$C$20</f>
        <v>0</v>
      </c>
      <c r="O21" s="22" t="n">
        <f aca="false">O11*Inputs!$C$20</f>
        <v>0</v>
      </c>
      <c r="P21" s="22" t="n">
        <f aca="false">P11*Inputs!$C$20</f>
        <v>0</v>
      </c>
      <c r="Q21" s="22" t="n">
        <f aca="false">Q11*Inputs!$C$20</f>
        <v>0</v>
      </c>
      <c r="R21" s="22" t="n">
        <f aca="false">R11*Inputs!$C$20</f>
        <v>0</v>
      </c>
      <c r="S21" s="22" t="n">
        <f aca="false">S11*Inputs!$C$20</f>
        <v>0</v>
      </c>
      <c r="T21" s="22" t="n">
        <f aca="false">T11*Inputs!$C$20</f>
        <v>0</v>
      </c>
      <c r="U21" s="22" t="n">
        <f aca="false">U11*Inputs!$C$20</f>
        <v>0</v>
      </c>
      <c r="V21" s="22" t="n">
        <f aca="false">V11*Inputs!$C$20</f>
        <v>0</v>
      </c>
      <c r="W21" s="22" t="n">
        <f aca="false">W11*Inputs!$C$20</f>
        <v>0</v>
      </c>
      <c r="X21" s="22" t="n">
        <f aca="false">X11*Inputs!$C$20</f>
        <v>0</v>
      </c>
      <c r="Y21" s="22" t="n">
        <f aca="false">Y11*Inputs!$C$20</f>
        <v>0</v>
      </c>
      <c r="Z21" s="22" t="n">
        <f aca="false">Z11*Inputs!$C$20</f>
        <v>0</v>
      </c>
      <c r="AA21" s="22" t="n">
        <f aca="false">AA11*Inputs!$C$20</f>
        <v>0</v>
      </c>
      <c r="AB21" s="22" t="n">
        <f aca="false">AB11*Inputs!$C$20</f>
        <v>0</v>
      </c>
      <c r="AC21" s="22" t="n">
        <f aca="false">AC11*Inputs!$C$20</f>
        <v>0</v>
      </c>
      <c r="AD21" s="22" t="n">
        <f aca="false">AD11*Inputs!$C$20</f>
        <v>0</v>
      </c>
      <c r="AE21" s="22" t="n">
        <f aca="false">AE11*Inputs!$C$20</f>
        <v>0</v>
      </c>
      <c r="AF21" s="22" t="n">
        <f aca="false">AF11*Inputs!$C$20</f>
        <v>0</v>
      </c>
      <c r="AG21" s="22" t="n">
        <f aca="false">AG11*Inputs!$C$20</f>
        <v>0</v>
      </c>
      <c r="AH21" s="22" t="n">
        <f aca="false">AH11*Inputs!$C$20</f>
        <v>0</v>
      </c>
      <c r="AI21" s="22" t="n">
        <f aca="false">AI11*Inputs!$C$20</f>
        <v>0</v>
      </c>
      <c r="AJ21" s="22" t="n">
        <f aca="false">AJ11*Inputs!$C$20</f>
        <v>0</v>
      </c>
      <c r="AK21" s="22" t="n">
        <f aca="false">AK11*Inputs!$C$20</f>
        <v>0</v>
      </c>
      <c r="AL21" s="22" t="n">
        <f aca="false">AL11*Inputs!$C$20</f>
        <v>0</v>
      </c>
    </row>
    <row r="22" customFormat="false" ht="15" hidden="false" customHeight="false" outlineLevel="0" collapsed="false">
      <c r="A22" s="19" t="s">
        <v>275</v>
      </c>
      <c r="B22" s="7" t="s">
        <v>209</v>
      </c>
      <c r="C22" s="23" t="n">
        <f aca="false">SUM(C19:C21)</f>
        <v>29440</v>
      </c>
      <c r="D22" s="23" t="n">
        <f aca="false">SUM(D19:D21)</f>
        <v>30923.776</v>
      </c>
      <c r="E22" s="23" t="n">
        <f aca="false">SUM(E19:E21)</f>
        <v>32482.3343104</v>
      </c>
      <c r="F22" s="23" t="n">
        <f aca="false">SUM(F19:F21)</f>
        <v>34119.4439596442</v>
      </c>
      <c r="G22" s="23" t="n">
        <f aca="false">SUM(G19:G21)</f>
        <v>35839.0639352102</v>
      </c>
      <c r="H22" s="23" t="n">
        <f aca="false">SUM(H19:H21)</f>
        <v>37645.3527575448</v>
      </c>
      <c r="I22" s="23" t="n">
        <f aca="false">SUM(I19:I21)</f>
        <v>39542.6785365251</v>
      </c>
      <c r="J22" s="23" t="n">
        <f aca="false">SUM(J19:J21)</f>
        <v>41535.629534766</v>
      </c>
      <c r="K22" s="23" t="n">
        <f aca="false">SUM(K19:K21)</f>
        <v>43629.0252633182</v>
      </c>
      <c r="L22" s="23" t="n">
        <f aca="false">SUM(L19:L21)</f>
        <v>45827.9281365894</v>
      </c>
      <c r="M22" s="23" t="n">
        <f aca="false">SUM(M19:M21)</f>
        <v>48137.6557146735</v>
      </c>
      <c r="N22" s="23" t="n">
        <f aca="false">SUM(N19:N21)</f>
        <v>50563.7935626931</v>
      </c>
      <c r="O22" s="23" t="n">
        <f aca="false">SUM(O19:O21)</f>
        <v>53112.2087582528</v>
      </c>
      <c r="P22" s="23" t="n">
        <f aca="false">SUM(P19:P21)</f>
        <v>55789.0640796687</v>
      </c>
      <c r="Q22" s="23" t="n">
        <f aca="false">SUM(Q19:Q21)</f>
        <v>58600.832909284</v>
      </c>
      <c r="R22" s="23" t="n">
        <f aca="false">SUM(R19:R21)</f>
        <v>61554.314887912</v>
      </c>
      <c r="S22" s="23" t="n">
        <f aca="false">SUM(S19:S21)</f>
        <v>64656.6523582627</v>
      </c>
      <c r="T22" s="23" t="n">
        <f aca="false">SUM(T19:T21)</f>
        <v>67915.3476371192</v>
      </c>
      <c r="U22" s="23" t="n">
        <f aca="false">SUM(U19:U21)</f>
        <v>71338.28115803</v>
      </c>
      <c r="V22" s="23" t="n">
        <f aca="false">SUM(V19:V21)</f>
        <v>74933.7305283947</v>
      </c>
      <c r="W22" s="23" t="n">
        <f aca="false">SUM(W19:W21)</f>
        <v>78710.3905470258</v>
      </c>
      <c r="X22" s="23" t="n">
        <f aca="false">SUM(X19:X21)</f>
        <v>82677.3942305959</v>
      </c>
      <c r="Y22" s="23" t="n">
        <f aca="false">SUM(Y19:Y21)</f>
        <v>86844.3348998179</v>
      </c>
      <c r="Z22" s="23" t="n">
        <f aca="false">SUM(Z19:Z21)</f>
        <v>91221.2893787687</v>
      </c>
      <c r="AA22" s="23" t="n">
        <f aca="false">SUM(AA19:AA21)</f>
        <v>95818.8423634587</v>
      </c>
      <c r="AB22" s="23" t="n">
        <f aca="false">SUM(AB19:AB21)</f>
        <v>100648.112018577</v>
      </c>
      <c r="AC22" s="23" t="n">
        <f aca="false">SUM(AC19:AC21)</f>
        <v>105720.776864313</v>
      </c>
      <c r="AD22" s="23" t="n">
        <f aca="false">SUM(AD19:AD21)</f>
        <v>111049.104018275</v>
      </c>
      <c r="AE22" s="23" t="n">
        <f aca="false">SUM(AE19:AE21)</f>
        <v>116645.978860796</v>
      </c>
      <c r="AF22" s="23" t="n">
        <f aca="false">SUM(AF19:AF21)</f>
        <v>122524.93619538</v>
      </c>
      <c r="AG22" s="23" t="n">
        <f aca="false">SUM(AG19:AG21)</f>
        <v>128700.192979627</v>
      </c>
      <c r="AH22" s="23" t="n">
        <f aca="false">SUM(AH19:AH21)</f>
        <v>135186.6827058</v>
      </c>
      <c r="AI22" s="23" t="n">
        <f aca="false">SUM(AI19:AI21)</f>
        <v>142000.091514173</v>
      </c>
      <c r="AJ22" s="23" t="n">
        <f aca="false">SUM(AJ19:AJ21)</f>
        <v>149156.896126487</v>
      </c>
      <c r="AK22" s="23" t="n">
        <f aca="false">SUM(AK19:AK21)</f>
        <v>156674.403691262</v>
      </c>
      <c r="AL22" s="23" t="n">
        <f aca="false">SUM(AL19:AL21)</f>
        <v>164570.793637301</v>
      </c>
    </row>
    <row r="23" customFormat="false" ht="15" hidden="false" customHeight="false" outlineLevel="0" collapsed="false">
      <c r="A23" s="9" t="s">
        <v>276</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row>
    <row r="24" customFormat="false" ht="15" hidden="false" customHeight="false" outlineLevel="0" collapsed="false">
      <c r="A24" s="7" t="s">
        <v>277</v>
      </c>
      <c r="B24" s="7" t="s">
        <v>209</v>
      </c>
      <c r="C24" s="24" t="n">
        <f aca="false">Inputs!$C$22*(1-$B$5)^((C$8-1)/12)</f>
        <v>0.006</v>
      </c>
      <c r="D24" s="24" t="n">
        <f aca="false">Inputs!$C$22*(1-$B$5)^((D$8-1)/12)</f>
        <v>0.00585786945466436</v>
      </c>
      <c r="E24" s="24" t="n">
        <f aca="false">Inputs!$C$22*(1-$B$5)^((E$8-1)/12)</f>
        <v>0.00571910575798162</v>
      </c>
      <c r="F24" s="24" t="n">
        <f aca="false">Inputs!$C$22*(1-$B$5)^((F$8-1)/12)</f>
        <v>0.0055836291546126</v>
      </c>
      <c r="G24" s="24" t="n">
        <f aca="false">Inputs!$C$22*(1-$B$5)^((G$8-1)/12)</f>
        <v>0.00545136177849642</v>
      </c>
      <c r="H24" s="24" t="n">
        <f aca="false">Inputs!$C$22*(1-$B$5)^((H$8-1)/12)</f>
        <v>0.00532222760809649</v>
      </c>
      <c r="I24" s="24" t="n">
        <f aca="false">Inputs!$C$22*(1-$B$5)^((I$8-1)/12)</f>
        <v>0.00519615242270663</v>
      </c>
      <c r="J24" s="24" t="n">
        <f aca="false">Inputs!$C$22*(1-$B$5)^((J$8-1)/12)</f>
        <v>0.00507306375979223</v>
      </c>
      <c r="K24" s="24" t="n">
        <f aca="false">Inputs!$C$22*(1-$B$5)^((K$8-1)/12)</f>
        <v>0.00495289087334194</v>
      </c>
      <c r="L24" s="24" t="n">
        <f aca="false">Inputs!$C$22*(1-$B$5)^((L$8-1)/12)</f>
        <v>0.00483556469320594</v>
      </c>
      <c r="M24" s="24" t="n">
        <f aca="false">Inputs!$C$22*(1-$B$5)^((M$8-1)/12)</f>
        <v>0.00472101778539742</v>
      </c>
      <c r="N24" s="24" t="n">
        <f aca="false">Inputs!$C$22*(1-$B$5)^((N$8-1)/12)</f>
        <v>0.00460918431333445</v>
      </c>
      <c r="O24" s="24" t="n">
        <f aca="false">Inputs!$C$22*(1-$B$5)^((O$8-1)/12)</f>
        <v>0.0045</v>
      </c>
      <c r="P24" s="24" t="n">
        <f aca="false">Inputs!$C$22*(1-$B$5)^((P$8-1)/12)</f>
        <v>0.00439340209099827</v>
      </c>
      <c r="Q24" s="24" t="n">
        <f aca="false">Inputs!$C$22*(1-$B$5)^((Q$8-1)/12)</f>
        <v>0.00428932931848621</v>
      </c>
      <c r="R24" s="24" t="n">
        <f aca="false">Inputs!$C$22*(1-$B$5)^((R$8-1)/12)</f>
        <v>0.00418772186595945</v>
      </c>
      <c r="S24" s="24" t="n">
        <f aca="false">Inputs!$C$22*(1-$B$5)^((S$8-1)/12)</f>
        <v>0.00408852133387231</v>
      </c>
      <c r="T24" s="24" t="n">
        <f aca="false">Inputs!$C$22*(1-$B$5)^((T$8-1)/12)</f>
        <v>0.00399167070607237</v>
      </c>
      <c r="U24" s="24" t="n">
        <f aca="false">Inputs!$C$22*(1-$B$5)^((U$8-1)/12)</f>
        <v>0.00389711431702997</v>
      </c>
      <c r="V24" s="24" t="n">
        <f aca="false">Inputs!$C$22*(1-$B$5)^((V$8-1)/12)</f>
        <v>0.00380479781984417</v>
      </c>
      <c r="W24" s="24" t="n">
        <f aca="false">Inputs!$C$22*(1-$B$5)^((W$8-1)/12)</f>
        <v>0.00371466815500646</v>
      </c>
      <c r="X24" s="24" t="n">
        <f aca="false">Inputs!$C$22*(1-$B$5)^((X$8-1)/12)</f>
        <v>0.00362667351990445</v>
      </c>
      <c r="Y24" s="24" t="n">
        <f aca="false">Inputs!$C$22*(1-$B$5)^((Y$8-1)/12)</f>
        <v>0.00354076333904806</v>
      </c>
      <c r="Z24" s="24" t="n">
        <f aca="false">Inputs!$C$22*(1-$B$5)^((Z$8-1)/12)</f>
        <v>0.00345688823500084</v>
      </c>
      <c r="AA24" s="24" t="n">
        <f aca="false">Inputs!$C$22*(1-$B$5)^((AA$8-1)/12)</f>
        <v>0.003375</v>
      </c>
      <c r="AB24" s="24" t="n">
        <f aca="false">Inputs!$C$22*(1-$B$5)^((AB$8-1)/12)</f>
        <v>0.0032950515682487</v>
      </c>
      <c r="AC24" s="24" t="n">
        <f aca="false">Inputs!$C$22*(1-$B$5)^((AC$8-1)/12)</f>
        <v>0.00321699698886466</v>
      </c>
      <c r="AD24" s="24" t="n">
        <f aca="false">Inputs!$C$22*(1-$B$5)^((AD$8-1)/12)</f>
        <v>0.00314079139946959</v>
      </c>
      <c r="AE24" s="24" t="n">
        <f aca="false">Inputs!$C$22*(1-$B$5)^((AE$8-1)/12)</f>
        <v>0.00306639100040424</v>
      </c>
      <c r="AF24" s="24" t="n">
        <f aca="false">Inputs!$C$22*(1-$B$5)^((AF$8-1)/12)</f>
        <v>0.00299375302955428</v>
      </c>
      <c r="AG24" s="24" t="n">
        <f aca="false">Inputs!$C$22*(1-$B$5)^((AG$8-1)/12)</f>
        <v>0.00292283573777248</v>
      </c>
      <c r="AH24" s="24" t="n">
        <f aca="false">Inputs!$C$22*(1-$B$5)^((AH$8-1)/12)</f>
        <v>0.00285359836488313</v>
      </c>
      <c r="AI24" s="24" t="n">
        <f aca="false">Inputs!$C$22*(1-$B$5)^((AI$8-1)/12)</f>
        <v>0.00278600111625484</v>
      </c>
      <c r="AJ24" s="24" t="n">
        <f aca="false">Inputs!$C$22*(1-$B$5)^((AJ$8-1)/12)</f>
        <v>0.00272000513992834</v>
      </c>
      <c r="AK24" s="24" t="n">
        <f aca="false">Inputs!$C$22*(1-$B$5)^((AK$8-1)/12)</f>
        <v>0.00265557250428605</v>
      </c>
      <c r="AL24" s="24" t="n">
        <f aca="false">Inputs!$C$22*(1-$B$5)^((AL$8-1)/12)</f>
        <v>0.00259266617625063</v>
      </c>
    </row>
    <row r="25" customFormat="false" ht="15" hidden="false" customHeight="false" outlineLevel="0" collapsed="false">
      <c r="A25" s="7" t="s">
        <v>278</v>
      </c>
      <c r="B25" s="7" t="s">
        <v>209</v>
      </c>
      <c r="C25" s="22" t="n">
        <f aca="false">C15*C24*(1-$B$7)</f>
        <v>8640</v>
      </c>
      <c r="D25" s="22" t="n">
        <f aca="false">D15*D24*(1-$B$7)</f>
        <v>8860.4727482584</v>
      </c>
      <c r="E25" s="22" t="n">
        <f aca="false">E15*E24*(1-$B$7)</f>
        <v>9086.57144937844</v>
      </c>
      <c r="F25" s="22" t="n">
        <f aca="false">F15*F24*(1-$B$7)</f>
        <v>9318.43966462043</v>
      </c>
      <c r="G25" s="22" t="n">
        <f aca="false">G15*G24*(1-$B$7)</f>
        <v>9556.22461859484</v>
      </c>
      <c r="H25" s="22" t="n">
        <f aca="false">H15*H24*(1-$B$7)</f>
        <v>9800.07729274255</v>
      </c>
      <c r="I25" s="22" t="n">
        <f aca="false">I15*I24*(1-$B$7)</f>
        <v>10050.1525212004</v>
      </c>
      <c r="J25" s="22" t="n">
        <f aca="false">J15*J24*(1-$B$7)</f>
        <v>10306.609089113</v>
      </c>
      <c r="K25" s="22" t="n">
        <f aca="false">K15*K24*(1-$B$7)</f>
        <v>10569.6098334535</v>
      </c>
      <c r="L25" s="22" t="n">
        <f aca="false">L15*L24*(1-$B$7)</f>
        <v>10839.3217464165</v>
      </c>
      <c r="M25" s="22" t="n">
        <f aca="false">M15*M24*(1-$B$7)</f>
        <v>11115.91608145</v>
      </c>
      <c r="N25" s="22" t="n">
        <f aca="false">N15*N24*(1-$B$7)</f>
        <v>11399.5684619925</v>
      </c>
      <c r="O25" s="22" t="n">
        <f aca="false">O15*O24*(1-$B$7)</f>
        <v>11690.458992985</v>
      </c>
      <c r="P25" s="22" t="n">
        <f aca="false">P15*P24*(1-$B$7)</f>
        <v>11988.7723752287</v>
      </c>
      <c r="Q25" s="22" t="n">
        <f aca="false">Q15*Q24*(1-$B$7)</f>
        <v>12294.6980226605</v>
      </c>
      <c r="R25" s="22" t="n">
        <f aca="false">R15*R24*(1-$B$7)</f>
        <v>12608.4301826215</v>
      </c>
      <c r="S25" s="22" t="n">
        <f aca="false">S15*S24*(1-$B$7)</f>
        <v>12930.1680591941</v>
      </c>
      <c r="T25" s="22" t="n">
        <f aca="false">T15*T24*(1-$B$7)</f>
        <v>13260.1159396863</v>
      </c>
      <c r="U25" s="22" t="n">
        <f aca="false">U15*U24*(1-$B$7)</f>
        <v>13598.4833243446</v>
      </c>
      <c r="V25" s="22" t="n">
        <f aca="false">V15*V24*(1-$B$7)</f>
        <v>13945.4850593752</v>
      </c>
      <c r="W25" s="22" t="n">
        <f aca="false">W15*W24*(1-$B$7)</f>
        <v>14301.341473361</v>
      </c>
      <c r="X25" s="22" t="n">
        <f aca="false">X15*X24*(1-$B$7)</f>
        <v>14666.2785171589</v>
      </c>
      <c r="Y25" s="22" t="n">
        <f aca="false">Y15*Y24*(1-$B$7)</f>
        <v>15040.5279073673</v>
      </c>
      <c r="Z25" s="22" t="n">
        <f aca="false">Z15*Z24*(1-$B$7)</f>
        <v>15424.3272734546</v>
      </c>
      <c r="AA25" s="22" t="n">
        <f aca="false">AA15*AA24*(1-$B$7)</f>
        <v>15817.9203086416</v>
      </c>
      <c r="AB25" s="22" t="n">
        <f aca="false">AB15*AB24*(1-$B$7)</f>
        <v>16221.5569246345</v>
      </c>
      <c r="AC25" s="22" t="n">
        <f aca="false">AC15*AC24*(1-$B$7)</f>
        <v>16635.4934103063</v>
      </c>
      <c r="AD25" s="22" t="n">
        <f aca="false">AD15*AD24*(1-$B$7)</f>
        <v>17059.9925944272</v>
      </c>
      <c r="AE25" s="22" t="n">
        <f aca="false">AE15*AE24*(1-$B$7)</f>
        <v>17495.3240125477</v>
      </c>
      <c r="AF25" s="22" t="n">
        <f aca="false">AF15*AF24*(1-$B$7)</f>
        <v>17941.76407814</v>
      </c>
      <c r="AG25" s="22" t="n">
        <f aca="false">AG15*AG24*(1-$B$7)</f>
        <v>18399.5962581066</v>
      </c>
      <c r="AH25" s="22" t="n">
        <f aca="false">AH15*AH24*(1-$B$7)</f>
        <v>18869.1112527675</v>
      </c>
      <c r="AI25" s="22" t="n">
        <f aca="false">AI15*AI24*(1-$B$7)</f>
        <v>19350.6071804401</v>
      </c>
      <c r="AJ25" s="22" t="n">
        <f aca="false">AJ15*AJ24*(1-$B$7)</f>
        <v>19844.3897667294</v>
      </c>
      <c r="AK25" s="22" t="n">
        <f aca="false">AK15*AK24*(1-$B$7)</f>
        <v>20350.7725386486</v>
      </c>
      <c r="AL25" s="22" t="n">
        <f aca="false">AL15*AL24*(1-$B$7)</f>
        <v>20870.0770236923</v>
      </c>
    </row>
    <row r="26" customFormat="false" ht="15" hidden="false" customHeight="false" outlineLevel="0" collapsed="false">
      <c r="A26" s="7" t="s">
        <v>279</v>
      </c>
      <c r="B26" s="7" t="s">
        <v>243</v>
      </c>
      <c r="C26" s="25" t="n">
        <f aca="false">(1-$B$6)^((C$8-1)/12)*(1-Inputs!$C$27)</f>
        <v>0.9</v>
      </c>
      <c r="D26" s="25" t="n">
        <f aca="false">(1-$B$6)^((D$8-1)/12)*(1-Inputs!$C$27)</f>
        <v>0.896161213100196</v>
      </c>
      <c r="E26" s="25" t="n">
        <f aca="false">(1-$B$6)^((E$8-1)/12)*(1-Inputs!$C$27)</f>
        <v>0.892338799850238</v>
      </c>
      <c r="F26" s="25" t="n">
        <f aca="false">(1-$B$6)^((F$8-1)/12)*(1-Inputs!$C$27)</f>
        <v>0.888532690411291</v>
      </c>
      <c r="G26" s="25" t="n">
        <f aca="false">(1-$B$6)^((G$8-1)/12)*(1-Inputs!$C$27)</f>
        <v>0.884742815242403</v>
      </c>
      <c r="H26" s="25" t="n">
        <f aca="false">(1-$B$6)^((H$8-1)/12)*(1-Inputs!$C$27)</f>
        <v>0.880969105099237</v>
      </c>
      <c r="I26" s="25" t="n">
        <f aca="false">(1-$B$6)^((I$8-1)/12)*(1-Inputs!$C$27)</f>
        <v>0.877211491032807</v>
      </c>
      <c r="J26" s="25" t="n">
        <f aca="false">(1-$B$6)^((J$8-1)/12)*(1-Inputs!$C$27)</f>
        <v>0.873469904388213</v>
      </c>
      <c r="K26" s="25" t="n">
        <f aca="false">(1-$B$6)^((K$8-1)/12)*(1-Inputs!$C$27)</f>
        <v>0.869744276803391</v>
      </c>
      <c r="L26" s="25" t="n">
        <f aca="false">(1-$B$6)^((L$8-1)/12)*(1-Inputs!$C$27)</f>
        <v>0.866034540207866</v>
      </c>
      <c r="M26" s="25" t="n">
        <f aca="false">(1-$B$6)^((M$8-1)/12)*(1-Inputs!$C$27)</f>
        <v>0.862340626821501</v>
      </c>
      <c r="N26" s="25" t="n">
        <f aca="false">(1-$B$6)^((N$8-1)/12)*(1-Inputs!$C$27)</f>
        <v>0.858662469153266</v>
      </c>
      <c r="O26" s="25" t="n">
        <f aca="false">(1-$B$6)^((O$8-1)/12)*(1-Inputs!$C$27)</f>
        <v>0.855</v>
      </c>
      <c r="P26" s="25" t="n">
        <f aca="false">(1-$B$6)^((P$8-1)/12)*(1-Inputs!$C$27)</f>
        <v>0.851353152445186</v>
      </c>
      <c r="Q26" s="25" t="n">
        <f aca="false">(1-$B$6)^((Q$8-1)/12)*(1-Inputs!$C$27)</f>
        <v>0.847721859857726</v>
      </c>
      <c r="R26" s="25" t="n">
        <f aca="false">(1-$B$6)^((R$8-1)/12)*(1-Inputs!$C$27)</f>
        <v>0.844106055890726</v>
      </c>
      <c r="S26" s="25" t="n">
        <f aca="false">(1-$B$6)^((S$8-1)/12)*(1-Inputs!$C$27)</f>
        <v>0.840505674480283</v>
      </c>
      <c r="T26" s="25" t="n">
        <f aca="false">(1-$B$6)^((T$8-1)/12)*(1-Inputs!$C$27)</f>
        <v>0.836920649844275</v>
      </c>
      <c r="U26" s="25" t="n">
        <f aca="false">(1-$B$6)^((U$8-1)/12)*(1-Inputs!$C$27)</f>
        <v>0.833350916481166</v>
      </c>
      <c r="V26" s="25" t="n">
        <f aca="false">(1-$B$6)^((V$8-1)/12)*(1-Inputs!$C$27)</f>
        <v>0.829796409168802</v>
      </c>
      <c r="W26" s="25" t="n">
        <f aca="false">(1-$B$6)^((W$8-1)/12)*(1-Inputs!$C$27)</f>
        <v>0.826257062963222</v>
      </c>
      <c r="X26" s="25" t="n">
        <f aca="false">(1-$B$6)^((X$8-1)/12)*(1-Inputs!$C$27)</f>
        <v>0.822732813197473</v>
      </c>
      <c r="Y26" s="25" t="n">
        <f aca="false">(1-$B$6)^((Y$8-1)/12)*(1-Inputs!$C$27)</f>
        <v>0.819223595480426</v>
      </c>
      <c r="Z26" s="25" t="n">
        <f aca="false">(1-$B$6)^((Z$8-1)/12)*(1-Inputs!$C$27)</f>
        <v>0.815729345695603</v>
      </c>
      <c r="AA26" s="25" t="n">
        <f aca="false">(1-$B$6)^((AA$8-1)/12)*(1-Inputs!$C$27)</f>
        <v>0.81225</v>
      </c>
      <c r="AB26" s="25" t="n">
        <f aca="false">(1-$B$6)^((AB$8-1)/12)*(1-Inputs!$C$27)</f>
        <v>0.808785494822926</v>
      </c>
      <c r="AC26" s="25" t="n">
        <f aca="false">(1-$B$6)^((AC$8-1)/12)*(1-Inputs!$C$27)</f>
        <v>0.805335766864839</v>
      </c>
      <c r="AD26" s="25" t="n">
        <f aca="false">(1-$B$6)^((AD$8-1)/12)*(1-Inputs!$C$27)</f>
        <v>0.80190075309619</v>
      </c>
      <c r="AE26" s="25" t="n">
        <f aca="false">(1-$B$6)^((AE$8-1)/12)*(1-Inputs!$C$27)</f>
        <v>0.798480390756268</v>
      </c>
      <c r="AF26" s="25" t="n">
        <f aca="false">(1-$B$6)^((AF$8-1)/12)*(1-Inputs!$C$27)</f>
        <v>0.795074617352062</v>
      </c>
      <c r="AG26" s="25" t="n">
        <f aca="false">(1-$B$6)^((AG$8-1)/12)*(1-Inputs!$C$27)</f>
        <v>0.791683370657108</v>
      </c>
      <c r="AH26" s="25" t="n">
        <f aca="false">(1-$B$6)^((AH$8-1)/12)*(1-Inputs!$C$27)</f>
        <v>0.788306588710362</v>
      </c>
      <c r="AI26" s="25" t="n">
        <f aca="false">(1-$B$6)^((AI$8-1)/12)*(1-Inputs!$C$27)</f>
        <v>0.784944209815061</v>
      </c>
      <c r="AJ26" s="25" t="n">
        <f aca="false">(1-$B$6)^((AJ$8-1)/12)*(1-Inputs!$C$27)</f>
        <v>0.781596172537599</v>
      </c>
      <c r="AK26" s="25" t="n">
        <f aca="false">(1-$B$6)^((AK$8-1)/12)*(1-Inputs!$C$27)</f>
        <v>0.778262415706405</v>
      </c>
      <c r="AL26" s="25" t="n">
        <f aca="false">(1-$B$6)^((AL$8-1)/12)*(1-Inputs!$C$27)</f>
        <v>0.774942878410822</v>
      </c>
    </row>
    <row r="27" customFormat="false" ht="15" hidden="false" customHeight="false" outlineLevel="0" collapsed="false">
      <c r="A27" s="7" t="s">
        <v>280</v>
      </c>
      <c r="B27" s="7" t="s">
        <v>209</v>
      </c>
      <c r="C27" s="22" t="n">
        <f aca="false">C13/1000*Inputs!$C$24*C26</f>
        <v>4320</v>
      </c>
      <c r="D27" s="22" t="n">
        <f aca="false">D13/1000*Inputs!$C$24*D26</f>
        <v>4518.37314355414</v>
      </c>
      <c r="E27" s="22" t="n">
        <f aca="false">E13/1000*Inputs!$C$24*E26</f>
        <v>4725.85552416465</v>
      </c>
      <c r="F27" s="22" t="n">
        <f aca="false">F13/1000*Inputs!$C$24*F26</f>
        <v>4942.86543534781</v>
      </c>
      <c r="G27" s="22" t="n">
        <f aca="false">G13/1000*Inputs!$C$24*G26</f>
        <v>5169.84037853647</v>
      </c>
      <c r="H27" s="22" t="n">
        <f aca="false">H13/1000*Inputs!$C$24*H26</f>
        <v>5407.23794510207</v>
      </c>
      <c r="I27" s="22" t="n">
        <f aca="false">I13/1000*Inputs!$C$24*I26</f>
        <v>5655.53673887872</v>
      </c>
      <c r="J27" s="22" t="n">
        <f aca="false">J13/1000*Inputs!$C$24*J26</f>
        <v>5915.23734104939</v>
      </c>
      <c r="K27" s="22" t="n">
        <f aca="false">K13/1000*Inputs!$C$24*K26</f>
        <v>6186.86331933938</v>
      </c>
      <c r="L27" s="22" t="n">
        <f aca="false">L13/1000*Inputs!$C$24*L26</f>
        <v>6470.96228355168</v>
      </c>
      <c r="M27" s="22" t="n">
        <f aca="false">M13/1000*Inputs!$C$24*M26</f>
        <v>6768.10698957215</v>
      </c>
      <c r="N27" s="22" t="n">
        <f aca="false">N13/1000*Inputs!$C$24*N26</f>
        <v>7078.89649407033</v>
      </c>
      <c r="O27" s="22" t="n">
        <f aca="false">O13/1000*Inputs!$C$24*O26</f>
        <v>7403.95736222383</v>
      </c>
      <c r="P27" s="22" t="n">
        <f aca="false">P13/1000*Inputs!$C$24*P26</f>
        <v>7743.94493090094</v>
      </c>
      <c r="Q27" s="22" t="n">
        <f aca="false">Q13/1000*Inputs!$C$24*Q26</f>
        <v>8099.54462984838</v>
      </c>
      <c r="R27" s="22" t="n">
        <f aca="false">R13/1000*Inputs!$C$24*R26</f>
        <v>8471.47336354747</v>
      </c>
      <c r="S27" s="22" t="n">
        <f aca="false">S13/1000*Inputs!$C$24*S26</f>
        <v>8860.4809565248</v>
      </c>
      <c r="T27" s="22" t="n">
        <f aca="false">T13/1000*Inputs!$C$24*T26</f>
        <v>9267.35166503114</v>
      </c>
      <c r="U27" s="22" t="n">
        <f aca="false">U13/1000*Inputs!$C$24*U26</f>
        <v>9692.90575813621</v>
      </c>
      <c r="V27" s="22" t="n">
        <f aca="false">V13/1000*Inputs!$C$24*V26</f>
        <v>10138.0011714268</v>
      </c>
      <c r="W27" s="22" t="n">
        <f aca="false">W13/1000*Inputs!$C$24*W26</f>
        <v>10603.5352366424</v>
      </c>
      <c r="X27" s="22" t="n">
        <f aca="false">X13/1000*Inputs!$C$24*X26</f>
        <v>11090.446490735</v>
      </c>
      <c r="Y27" s="22" t="n">
        <f aca="false">Y13/1000*Inputs!$C$24*Y26</f>
        <v>11599.7165680003</v>
      </c>
      <c r="Z27" s="22" t="n">
        <f aca="false">Z13/1000*Inputs!$C$24*Z26</f>
        <v>12132.3721790955</v>
      </c>
      <c r="AA27" s="22" t="n">
        <f aca="false">AA13/1000*Inputs!$C$24*AA26</f>
        <v>12689.4871809325</v>
      </c>
      <c r="AB27" s="22" t="n">
        <f aca="false">AB13/1000*Inputs!$C$24*AB26</f>
        <v>13272.1847416203</v>
      </c>
      <c r="AC27" s="22" t="n">
        <f aca="false">AC13/1000*Inputs!$C$24*AC26</f>
        <v>13881.6396048209</v>
      </c>
      <c r="AD27" s="22" t="n">
        <f aca="false">AD13/1000*Inputs!$C$24*AD26</f>
        <v>14519.0804580834</v>
      </c>
      <c r="AE27" s="22" t="n">
        <f aca="false">AE13/1000*Inputs!$C$24*AE26</f>
        <v>15185.7924099319</v>
      </c>
      <c r="AF27" s="22" t="n">
        <f aca="false">AF13/1000*Inputs!$C$24*AF26</f>
        <v>15883.1195807001</v>
      </c>
      <c r="AG27" s="22" t="n">
        <f aca="false">AG13/1000*Inputs!$C$24*AG26</f>
        <v>16612.4678123366</v>
      </c>
      <c r="AH27" s="22" t="n">
        <f aca="false">AH13/1000*Inputs!$C$24*AH26</f>
        <v>17375.3075026434</v>
      </c>
      <c r="AI27" s="22" t="n">
        <f aca="false">AI13/1000*Inputs!$C$24*AI26</f>
        <v>18173.1765696617</v>
      </c>
      <c r="AJ27" s="22" t="n">
        <f aca="false">AJ13/1000*Inputs!$C$24*AJ26</f>
        <v>19007.6835521821</v>
      </c>
      <c r="AK27" s="22" t="n">
        <f aca="false">AK13/1000*Inputs!$C$24*AK26</f>
        <v>19880.5108526286</v>
      </c>
      <c r="AL27" s="22" t="n">
        <f aca="false">AL13/1000*Inputs!$C$24*AL26</f>
        <v>20793.418128855</v>
      </c>
    </row>
    <row r="28" customFormat="false" ht="15" hidden="false" customHeight="false" outlineLevel="0" collapsed="false">
      <c r="A28" s="7" t="s">
        <v>281</v>
      </c>
      <c r="B28" s="7" t="s">
        <v>209</v>
      </c>
      <c r="C28" s="22" t="n">
        <f aca="false">C13/1000*Inputs!$C$25*C26</f>
        <v>1080</v>
      </c>
      <c r="D28" s="22" t="n">
        <f aca="false">D13/1000*Inputs!$C$25*D26</f>
        <v>1129.59328588853</v>
      </c>
      <c r="E28" s="22" t="n">
        <f aca="false">E13/1000*Inputs!$C$25*E26</f>
        <v>1181.46388104116</v>
      </c>
      <c r="F28" s="22" t="n">
        <f aca="false">F13/1000*Inputs!$C$25*F26</f>
        <v>1235.71635883695</v>
      </c>
      <c r="G28" s="22" t="n">
        <f aca="false">G13/1000*Inputs!$C$25*G26</f>
        <v>1292.46009463412</v>
      </c>
      <c r="H28" s="22" t="n">
        <f aca="false">H13/1000*Inputs!$C$25*H26</f>
        <v>1351.80948627552</v>
      </c>
      <c r="I28" s="22" t="n">
        <f aca="false">I13/1000*Inputs!$C$25*I26</f>
        <v>1413.88418471968</v>
      </c>
      <c r="J28" s="22" t="n">
        <f aca="false">J13/1000*Inputs!$C$25*J26</f>
        <v>1478.80933526235</v>
      </c>
      <c r="K28" s="22" t="n">
        <f aca="false">K13/1000*Inputs!$C$25*K26</f>
        <v>1546.71582983485</v>
      </c>
      <c r="L28" s="22" t="n">
        <f aca="false">L13/1000*Inputs!$C$25*L26</f>
        <v>1617.74057088792</v>
      </c>
      <c r="M28" s="22" t="n">
        <f aca="false">M13/1000*Inputs!$C$25*M26</f>
        <v>1692.02674739304</v>
      </c>
      <c r="N28" s="22" t="n">
        <f aca="false">N13/1000*Inputs!$C$25*N26</f>
        <v>1769.72412351758</v>
      </c>
      <c r="O28" s="22" t="n">
        <f aca="false">O13/1000*Inputs!$C$25*O26</f>
        <v>1850.98934055596</v>
      </c>
      <c r="P28" s="22" t="n">
        <f aca="false">P13/1000*Inputs!$C$25*P26</f>
        <v>1935.98623272524</v>
      </c>
      <c r="Q28" s="22" t="n">
        <f aca="false">Q13/1000*Inputs!$C$25*Q26</f>
        <v>2024.8861574621</v>
      </c>
      <c r="R28" s="22" t="n">
        <f aca="false">R13/1000*Inputs!$C$25*R26</f>
        <v>2117.86834088687</v>
      </c>
      <c r="S28" s="22" t="n">
        <f aca="false">S13/1000*Inputs!$C$25*S26</f>
        <v>2215.1202391312</v>
      </c>
      <c r="T28" s="22" t="n">
        <f aca="false">T13/1000*Inputs!$C$25*T26</f>
        <v>2316.83791625778</v>
      </c>
      <c r="U28" s="22" t="n">
        <f aca="false">U13/1000*Inputs!$C$25*U26</f>
        <v>2423.22643953405</v>
      </c>
      <c r="V28" s="22" t="n">
        <f aca="false">V13/1000*Inputs!$C$25*V26</f>
        <v>2534.50029285671</v>
      </c>
      <c r="W28" s="22" t="n">
        <f aca="false">W13/1000*Inputs!$C$25*W26</f>
        <v>2650.88380916061</v>
      </c>
      <c r="X28" s="22" t="n">
        <f aca="false">X13/1000*Inputs!$C$25*X26</f>
        <v>2772.61162268375</v>
      </c>
      <c r="Y28" s="22" t="n">
        <f aca="false">Y13/1000*Inputs!$C$25*Y26</f>
        <v>2899.92914200007</v>
      </c>
      <c r="Z28" s="22" t="n">
        <f aca="false">Z13/1000*Inputs!$C$25*Z26</f>
        <v>3033.09304477387</v>
      </c>
      <c r="AA28" s="22" t="n">
        <f aca="false">AA13/1000*Inputs!$C$25*AA26</f>
        <v>3172.37179523313</v>
      </c>
      <c r="AB28" s="22" t="n">
        <f aca="false">AB13/1000*Inputs!$C$25*AB26</f>
        <v>3318.04618540509</v>
      </c>
      <c r="AC28" s="22" t="n">
        <f aca="false">AC13/1000*Inputs!$C$25*AC26</f>
        <v>3470.40990120523</v>
      </c>
      <c r="AD28" s="22" t="n">
        <f aca="false">AD13/1000*Inputs!$C$25*AD26</f>
        <v>3629.77011452085</v>
      </c>
      <c r="AE28" s="22" t="n">
        <f aca="false">AE13/1000*Inputs!$C$25*AE26</f>
        <v>3796.44810248297</v>
      </c>
      <c r="AF28" s="22" t="n">
        <f aca="false">AF13/1000*Inputs!$C$25*AF26</f>
        <v>3970.77989517503</v>
      </c>
      <c r="AG28" s="22" t="n">
        <f aca="false">AG13/1000*Inputs!$C$25*AG26</f>
        <v>4153.11695308416</v>
      </c>
      <c r="AH28" s="22" t="n">
        <f aca="false">AH13/1000*Inputs!$C$25*AH26</f>
        <v>4343.82687566085</v>
      </c>
      <c r="AI28" s="22" t="n">
        <f aca="false">AI13/1000*Inputs!$C$25*AI26</f>
        <v>4543.29414241543</v>
      </c>
      <c r="AJ28" s="22" t="n">
        <f aca="false">AJ13/1000*Inputs!$C$25*AJ26</f>
        <v>4751.92088804553</v>
      </c>
      <c r="AK28" s="22" t="n">
        <f aca="false">AK13/1000*Inputs!$C$25*AK26</f>
        <v>4970.12771315714</v>
      </c>
      <c r="AL28" s="22" t="n">
        <f aca="false">AL13/1000*Inputs!$C$25*AL26</f>
        <v>5198.35453221374</v>
      </c>
    </row>
    <row r="29" customFormat="false" ht="15" hidden="false" customHeight="false" outlineLevel="0" collapsed="false">
      <c r="A29" s="7" t="s">
        <v>282</v>
      </c>
      <c r="B29" s="7" t="s">
        <v>209</v>
      </c>
      <c r="C29" s="22" t="n">
        <f aca="false">C13/1000*Inputs!$C$26*C26</f>
        <v>1800</v>
      </c>
      <c r="D29" s="22" t="n">
        <f aca="false">D13/1000*Inputs!$C$26*D26</f>
        <v>1882.65547648089</v>
      </c>
      <c r="E29" s="22" t="n">
        <f aca="false">E13/1000*Inputs!$C$26*E26</f>
        <v>1969.10646840194</v>
      </c>
      <c r="F29" s="22" t="n">
        <f aca="false">F13/1000*Inputs!$C$26*F26</f>
        <v>2059.52726472825</v>
      </c>
      <c r="G29" s="22" t="n">
        <f aca="false">G13/1000*Inputs!$C$26*G26</f>
        <v>2154.10015772353</v>
      </c>
      <c r="H29" s="22" t="n">
        <f aca="false">H13/1000*Inputs!$C$26*H26</f>
        <v>2253.0158104592</v>
      </c>
      <c r="I29" s="22" t="n">
        <f aca="false">I13/1000*Inputs!$C$26*I26</f>
        <v>2356.47364119947</v>
      </c>
      <c r="J29" s="22" t="n">
        <f aca="false">J13/1000*Inputs!$C$26*J26</f>
        <v>2464.68222543724</v>
      </c>
      <c r="K29" s="22" t="n">
        <f aca="false">K13/1000*Inputs!$C$26*K26</f>
        <v>2577.85971639141</v>
      </c>
      <c r="L29" s="22" t="n">
        <f aca="false">L13/1000*Inputs!$C$26*L26</f>
        <v>2696.2342848132</v>
      </c>
      <c r="M29" s="22" t="n">
        <f aca="false">M13/1000*Inputs!$C$26*M26</f>
        <v>2820.04457898839</v>
      </c>
      <c r="N29" s="22" t="n">
        <f aca="false">N13/1000*Inputs!$C$26*N26</f>
        <v>2949.54020586264</v>
      </c>
      <c r="O29" s="22" t="n">
        <f aca="false">O13/1000*Inputs!$C$26*O26</f>
        <v>3084.98223425993</v>
      </c>
      <c r="P29" s="22" t="n">
        <f aca="false">P13/1000*Inputs!$C$26*P26</f>
        <v>3226.64372120873</v>
      </c>
      <c r="Q29" s="22" t="n">
        <f aca="false">Q13/1000*Inputs!$C$26*Q26</f>
        <v>3374.81026243683</v>
      </c>
      <c r="R29" s="22" t="n">
        <f aca="false">R13/1000*Inputs!$C$26*R26</f>
        <v>3529.78056814478</v>
      </c>
      <c r="S29" s="22" t="n">
        <f aca="false">S13/1000*Inputs!$C$26*S26</f>
        <v>3691.86706521867</v>
      </c>
      <c r="T29" s="22" t="n">
        <f aca="false">T13/1000*Inputs!$C$26*T26</f>
        <v>3861.39652709631</v>
      </c>
      <c r="U29" s="22" t="n">
        <f aca="false">U13/1000*Inputs!$C$26*U26</f>
        <v>4038.71073255675</v>
      </c>
      <c r="V29" s="22" t="n">
        <f aca="false">V13/1000*Inputs!$C$26*V26</f>
        <v>4224.16715476118</v>
      </c>
      <c r="W29" s="22" t="n">
        <f aca="false">W13/1000*Inputs!$C$26*W26</f>
        <v>4418.13968193435</v>
      </c>
      <c r="X29" s="22" t="n">
        <f aca="false">X13/1000*Inputs!$C$26*X26</f>
        <v>4621.01937113958</v>
      </c>
      <c r="Y29" s="22" t="n">
        <f aca="false">Y13/1000*Inputs!$C$26*Y26</f>
        <v>4833.21523666679</v>
      </c>
      <c r="Z29" s="22" t="n">
        <f aca="false">Z13/1000*Inputs!$C$26*Z26</f>
        <v>5055.15507462312</v>
      </c>
      <c r="AA29" s="22" t="n">
        <f aca="false">AA13/1000*Inputs!$C$26*AA26</f>
        <v>5287.28632538854</v>
      </c>
      <c r="AB29" s="22" t="n">
        <f aca="false">AB13/1000*Inputs!$C$26*AB26</f>
        <v>5530.07697567515</v>
      </c>
      <c r="AC29" s="22" t="n">
        <f aca="false">AC13/1000*Inputs!$C$26*AC26</f>
        <v>5784.01650200872</v>
      </c>
      <c r="AD29" s="22" t="n">
        <f aca="false">AD13/1000*Inputs!$C$26*AD26</f>
        <v>6049.61685753476</v>
      </c>
      <c r="AE29" s="22" t="n">
        <f aca="false">AE13/1000*Inputs!$C$26*AE26</f>
        <v>6327.41350413829</v>
      </c>
      <c r="AF29" s="22" t="n">
        <f aca="false">AF13/1000*Inputs!$C$26*AF26</f>
        <v>6617.96649195838</v>
      </c>
      <c r="AG29" s="22" t="n">
        <f aca="false">AG13/1000*Inputs!$C$26*AG26</f>
        <v>6921.8615884736</v>
      </c>
      <c r="AH29" s="22" t="n">
        <f aca="false">AH13/1000*Inputs!$C$26*AH26</f>
        <v>7239.71145943474</v>
      </c>
      <c r="AI29" s="22" t="n">
        <f aca="false">AI13/1000*Inputs!$C$26*AI26</f>
        <v>7572.15690402571</v>
      </c>
      <c r="AJ29" s="22" t="n">
        <f aca="false">AJ13/1000*Inputs!$C$26*AJ26</f>
        <v>7919.86814674255</v>
      </c>
      <c r="AK29" s="22" t="n">
        <f aca="false">AK13/1000*Inputs!$C$26*AK26</f>
        <v>8283.54618859524</v>
      </c>
      <c r="AL29" s="22" t="n">
        <f aca="false">AL13/1000*Inputs!$C$26*AL26</f>
        <v>8663.92422035624</v>
      </c>
    </row>
    <row r="30" customFormat="false" ht="15" hidden="false" customHeight="false" outlineLevel="0" collapsed="false">
      <c r="A30" s="19" t="s">
        <v>283</v>
      </c>
      <c r="B30" s="7" t="s">
        <v>209</v>
      </c>
      <c r="C30" s="23" t="n">
        <f aca="false">SUM(C27:C29)</f>
        <v>7200</v>
      </c>
      <c r="D30" s="23" t="n">
        <f aca="false">SUM(D27:D29)</f>
        <v>7530.62190592356</v>
      </c>
      <c r="E30" s="23" t="n">
        <f aca="false">SUM(E27:E29)</f>
        <v>7876.42587360776</v>
      </c>
      <c r="F30" s="23" t="n">
        <f aca="false">SUM(F27:F29)</f>
        <v>8238.10905891301</v>
      </c>
      <c r="G30" s="23" t="n">
        <f aca="false">SUM(G27:G29)</f>
        <v>8616.40063089412</v>
      </c>
      <c r="H30" s="23" t="n">
        <f aca="false">SUM(H27:H29)</f>
        <v>9012.06324183679</v>
      </c>
      <c r="I30" s="23" t="n">
        <f aca="false">SUM(I27:I29)</f>
        <v>9425.89456479787</v>
      </c>
      <c r="J30" s="23" t="n">
        <f aca="false">SUM(J27:J29)</f>
        <v>9858.72890174898</v>
      </c>
      <c r="K30" s="23" t="n">
        <f aca="false">SUM(K27:K29)</f>
        <v>10311.4388655656</v>
      </c>
      <c r="L30" s="23" t="n">
        <f aca="false">SUM(L27:L29)</f>
        <v>10784.9371392528</v>
      </c>
      <c r="M30" s="23" t="n">
        <f aca="false">SUM(M27:M29)</f>
        <v>11280.1783159536</v>
      </c>
      <c r="N30" s="23" t="n">
        <f aca="false">SUM(N27:N29)</f>
        <v>11798.1608234506</v>
      </c>
      <c r="O30" s="23" t="n">
        <f aca="false">SUM(O27:O29)</f>
        <v>12339.9289370397</v>
      </c>
      <c r="P30" s="23" t="n">
        <f aca="false">SUM(P27:P29)</f>
        <v>12906.5748848349</v>
      </c>
      <c r="Q30" s="23" t="n">
        <f aca="false">SUM(Q27:Q29)</f>
        <v>13499.2410497473</v>
      </c>
      <c r="R30" s="23" t="n">
        <f aca="false">SUM(R27:R29)</f>
        <v>14119.1222725791</v>
      </c>
      <c r="S30" s="23" t="n">
        <f aca="false">SUM(S27:S29)</f>
        <v>14767.4682608747</v>
      </c>
      <c r="T30" s="23" t="n">
        <f aca="false">SUM(T27:T29)</f>
        <v>15445.5861083852</v>
      </c>
      <c r="U30" s="23" t="n">
        <f aca="false">SUM(U27:U29)</f>
        <v>16154.842930227</v>
      </c>
      <c r="V30" s="23" t="n">
        <f aca="false">SUM(V27:V29)</f>
        <v>16896.6686190447</v>
      </c>
      <c r="W30" s="23" t="n">
        <f aca="false">SUM(W27:W29)</f>
        <v>17672.5587277374</v>
      </c>
      <c r="X30" s="23" t="n">
        <f aca="false">SUM(X27:X29)</f>
        <v>18484.0774845583</v>
      </c>
      <c r="Y30" s="23" t="n">
        <f aca="false">SUM(Y27:Y29)</f>
        <v>19332.8609466671</v>
      </c>
      <c r="Z30" s="23" t="n">
        <f aca="false">SUM(Z27:Z29)</f>
        <v>20220.6202984925</v>
      </c>
      <c r="AA30" s="23" t="n">
        <f aca="false">SUM(AA27:AA29)</f>
        <v>21149.1453015542</v>
      </c>
      <c r="AB30" s="23" t="n">
        <f aca="false">SUM(AB27:AB29)</f>
        <v>22120.3079027006</v>
      </c>
      <c r="AC30" s="23" t="n">
        <f aca="false">SUM(AC27:AC29)</f>
        <v>23136.0660080349</v>
      </c>
      <c r="AD30" s="23" t="n">
        <f aca="false">SUM(AD27:AD29)</f>
        <v>24198.467430139</v>
      </c>
      <c r="AE30" s="23" t="n">
        <f aca="false">SUM(AE27:AE29)</f>
        <v>25309.6540165531</v>
      </c>
      <c r="AF30" s="23" t="n">
        <f aca="false">SUM(AF27:AF29)</f>
        <v>26471.8659678335</v>
      </c>
      <c r="AG30" s="23" t="n">
        <f aca="false">SUM(AG27:AG29)</f>
        <v>27687.4463538944</v>
      </c>
      <c r="AH30" s="23" t="n">
        <f aca="false">SUM(AH27:AH29)</f>
        <v>28958.845837739</v>
      </c>
      <c r="AI30" s="23" t="n">
        <f aca="false">SUM(AI27:AI29)</f>
        <v>30288.6276161028</v>
      </c>
      <c r="AJ30" s="23" t="n">
        <f aca="false">SUM(AJ27:AJ29)</f>
        <v>31679.4725869702</v>
      </c>
      <c r="AK30" s="23" t="n">
        <f aca="false">SUM(AK27:AK29)</f>
        <v>33134.184754381</v>
      </c>
      <c r="AL30" s="23" t="n">
        <f aca="false">SUM(AL27:AL29)</f>
        <v>34655.696881425</v>
      </c>
    </row>
    <row r="31" customFormat="false" ht="15" hidden="false" customHeight="false" outlineLevel="0" collapsed="false">
      <c r="A31" s="7" t="s">
        <v>91</v>
      </c>
      <c r="B31" s="7" t="s">
        <v>209</v>
      </c>
      <c r="C31" s="22" t="n">
        <f aca="false">C22*Inputs!$C$29</f>
        <v>1472</v>
      </c>
      <c r="D31" s="22" t="n">
        <f aca="false">D22*Inputs!$C$29</f>
        <v>1546.1888</v>
      </c>
      <c r="E31" s="22" t="n">
        <f aca="false">E22*Inputs!$C$29</f>
        <v>1624.11671552</v>
      </c>
      <c r="F31" s="22" t="n">
        <f aca="false">F22*Inputs!$C$29</f>
        <v>1705.97219798221</v>
      </c>
      <c r="G31" s="22" t="n">
        <f aca="false">G22*Inputs!$C$29</f>
        <v>1791.95319676051</v>
      </c>
      <c r="H31" s="22" t="n">
        <f aca="false">H22*Inputs!$C$29</f>
        <v>1882.26763787724</v>
      </c>
      <c r="I31" s="22" t="n">
        <f aca="false">I22*Inputs!$C$29</f>
        <v>1977.13392682625</v>
      </c>
      <c r="J31" s="22" t="n">
        <f aca="false">J22*Inputs!$C$29</f>
        <v>2076.7814767383</v>
      </c>
      <c r="K31" s="22" t="n">
        <f aca="false">K22*Inputs!$C$29</f>
        <v>2181.45126316591</v>
      </c>
      <c r="L31" s="22" t="n">
        <f aca="false">L22*Inputs!$C$29</f>
        <v>2291.39640682947</v>
      </c>
      <c r="M31" s="22" t="n">
        <f aca="false">M22*Inputs!$C$29</f>
        <v>2406.88278573368</v>
      </c>
      <c r="N31" s="22" t="n">
        <f aca="false">N22*Inputs!$C$29</f>
        <v>2528.18967813465</v>
      </c>
      <c r="O31" s="22" t="n">
        <f aca="false">O22*Inputs!$C$29</f>
        <v>2655.61043791264</v>
      </c>
      <c r="P31" s="22" t="n">
        <f aca="false">P22*Inputs!$C$29</f>
        <v>2789.45320398344</v>
      </c>
      <c r="Q31" s="22" t="n">
        <f aca="false">Q22*Inputs!$C$29</f>
        <v>2930.0416454642</v>
      </c>
      <c r="R31" s="22" t="n">
        <f aca="false">R22*Inputs!$C$29</f>
        <v>3077.7157443956</v>
      </c>
      <c r="S31" s="22" t="n">
        <f aca="false">S22*Inputs!$C$29</f>
        <v>3232.83261791314</v>
      </c>
      <c r="T31" s="22" t="n">
        <f aca="false">T22*Inputs!$C$29</f>
        <v>3395.76738185596</v>
      </c>
      <c r="U31" s="22" t="n">
        <f aca="false">U22*Inputs!$C$29</f>
        <v>3566.9140579015</v>
      </c>
      <c r="V31" s="22" t="n">
        <f aca="false">V22*Inputs!$C$29</f>
        <v>3746.68652641974</v>
      </c>
      <c r="W31" s="22" t="n">
        <f aca="false">W22*Inputs!$C$29</f>
        <v>3935.51952735129</v>
      </c>
      <c r="X31" s="22" t="n">
        <f aca="false">X22*Inputs!$C$29</f>
        <v>4133.8697115298</v>
      </c>
      <c r="Y31" s="22" t="n">
        <f aca="false">Y22*Inputs!$C$29</f>
        <v>4342.2167449909</v>
      </c>
      <c r="Z31" s="22" t="n">
        <f aca="false">Z22*Inputs!$C$29</f>
        <v>4561.06446893844</v>
      </c>
      <c r="AA31" s="22" t="n">
        <f aca="false">AA22*Inputs!$C$29</f>
        <v>4790.94211817294</v>
      </c>
      <c r="AB31" s="22" t="n">
        <f aca="false">AB22*Inputs!$C$29</f>
        <v>5032.40560092885</v>
      </c>
      <c r="AC31" s="22" t="n">
        <f aca="false">AC22*Inputs!$C$29</f>
        <v>5286.03884321567</v>
      </c>
      <c r="AD31" s="22" t="n">
        <f aca="false">AD22*Inputs!$C$29</f>
        <v>5552.45520091374</v>
      </c>
      <c r="AE31" s="22" t="n">
        <f aca="false">AE22*Inputs!$C$29</f>
        <v>5832.29894303979</v>
      </c>
      <c r="AF31" s="22" t="n">
        <f aca="false">AF22*Inputs!$C$29</f>
        <v>6126.24680976899</v>
      </c>
      <c r="AG31" s="22" t="n">
        <f aca="false">AG22*Inputs!$C$29</f>
        <v>6435.00964898135</v>
      </c>
      <c r="AH31" s="22" t="n">
        <f aca="false">AH22*Inputs!$C$29</f>
        <v>6759.33413529001</v>
      </c>
      <c r="AI31" s="22" t="n">
        <f aca="false">AI22*Inputs!$C$29</f>
        <v>7100.00457570863</v>
      </c>
      <c r="AJ31" s="22" t="n">
        <f aca="false">AJ22*Inputs!$C$29</f>
        <v>7457.84480632434</v>
      </c>
      <c r="AK31" s="22" t="n">
        <f aca="false">AK22*Inputs!$C$29</f>
        <v>7833.72018456309</v>
      </c>
      <c r="AL31" s="22" t="n">
        <f aca="false">AL22*Inputs!$C$29</f>
        <v>8228.53968186507</v>
      </c>
    </row>
    <row r="32" customFormat="false" ht="15" hidden="false" customHeight="false" outlineLevel="0" collapsed="false">
      <c r="A32" s="19" t="s">
        <v>284</v>
      </c>
      <c r="B32" s="7" t="s">
        <v>209</v>
      </c>
      <c r="C32" s="23" t="n">
        <f aca="false">C25+C30+C31</f>
        <v>17312</v>
      </c>
      <c r="D32" s="23" t="n">
        <f aca="false">D25+D30+D31</f>
        <v>17937.283454182</v>
      </c>
      <c r="E32" s="23" t="n">
        <f aca="false">E25+E30+E31</f>
        <v>18587.1140385062</v>
      </c>
      <c r="F32" s="23" t="n">
        <f aca="false">F25+F30+F31</f>
        <v>19262.5209215156</v>
      </c>
      <c r="G32" s="23" t="n">
        <f aca="false">G25+G30+G31</f>
        <v>19964.5784462495</v>
      </c>
      <c r="H32" s="23" t="n">
        <f aca="false">H25+H30+H31</f>
        <v>20694.4081724566</v>
      </c>
      <c r="I32" s="23" t="n">
        <f aca="false">I25+I30+I31</f>
        <v>21453.1810128245</v>
      </c>
      <c r="J32" s="23" t="n">
        <f aca="false">J25+J30+J31</f>
        <v>22242.1194676003</v>
      </c>
      <c r="K32" s="23" t="n">
        <f aca="false">K25+K30+K31</f>
        <v>23062.499962185</v>
      </c>
      <c r="L32" s="23" t="n">
        <f aca="false">L25+L30+L31</f>
        <v>23915.6552924988</v>
      </c>
      <c r="M32" s="23" t="n">
        <f aca="false">M25+M30+M31</f>
        <v>24802.9771831373</v>
      </c>
      <c r="N32" s="23" t="n">
        <f aca="false">N25+N30+N31</f>
        <v>25725.9189635777</v>
      </c>
      <c r="O32" s="23" t="n">
        <f aca="false">O25+O30+O31</f>
        <v>26685.9983679373</v>
      </c>
      <c r="P32" s="23" t="n">
        <f aca="false">P25+P30+P31</f>
        <v>27684.800464047</v>
      </c>
      <c r="Q32" s="23" t="n">
        <f aca="false">Q25+Q30+Q31</f>
        <v>28723.980717872</v>
      </c>
      <c r="R32" s="23" t="n">
        <f aca="false">R25+R30+R31</f>
        <v>29805.2681995962</v>
      </c>
      <c r="S32" s="23" t="n">
        <f aca="false">S25+S30+S31</f>
        <v>30930.4689379819</v>
      </c>
      <c r="T32" s="23" t="n">
        <f aca="false">T25+T30+T31</f>
        <v>32101.4694299275</v>
      </c>
      <c r="U32" s="23" t="n">
        <f aca="false">U25+U30+U31</f>
        <v>33320.2403124732</v>
      </c>
      <c r="V32" s="23" t="n">
        <f aca="false">V25+V30+V31</f>
        <v>34588.8402048397</v>
      </c>
      <c r="W32" s="23" t="n">
        <f aca="false">W25+W30+W31</f>
        <v>35909.4197284497</v>
      </c>
      <c r="X32" s="23" t="n">
        <f aca="false">X25+X30+X31</f>
        <v>37284.225713247</v>
      </c>
      <c r="Y32" s="23" t="n">
        <f aca="false">Y25+Y30+Y31</f>
        <v>38715.6055990254</v>
      </c>
      <c r="Z32" s="23" t="n">
        <f aca="false">Z25+Z30+Z31</f>
        <v>40206.0120408855</v>
      </c>
      <c r="AA32" s="23" t="n">
        <f aca="false">AA25+AA30+AA31</f>
        <v>41758.0077283687</v>
      </c>
      <c r="AB32" s="23" t="n">
        <f aca="false">AB25+AB30+AB31</f>
        <v>43374.2704282639</v>
      </c>
      <c r="AC32" s="23" t="n">
        <f aca="false">AC25+AC30+AC31</f>
        <v>45057.5982615568</v>
      </c>
      <c r="AD32" s="23" t="n">
        <f aca="false">AD25+AD30+AD31</f>
        <v>46810.91522548</v>
      </c>
      <c r="AE32" s="23" t="n">
        <f aca="false">AE25+AE30+AE31</f>
        <v>48637.2769721407</v>
      </c>
      <c r="AF32" s="23" t="n">
        <f aca="false">AF25+AF30+AF31</f>
        <v>50539.8768557426</v>
      </c>
      <c r="AG32" s="23" t="n">
        <f aca="false">AG25+AG30+AG31</f>
        <v>52522.0522609824</v>
      </c>
      <c r="AH32" s="23" t="n">
        <f aca="false">AH25+AH30+AH31</f>
        <v>54587.2912257965</v>
      </c>
      <c r="AI32" s="23" t="n">
        <f aca="false">AI25+AI30+AI31</f>
        <v>56739.2393722515</v>
      </c>
      <c r="AJ32" s="23" t="n">
        <f aca="false">AJ25+AJ30+AJ31</f>
        <v>58981.707160024</v>
      </c>
      <c r="AK32" s="23" t="n">
        <f aca="false">AK25+AK30+AK31</f>
        <v>61318.6774775927</v>
      </c>
      <c r="AL32" s="23" t="n">
        <f aca="false">AL25+AL30+AL31</f>
        <v>63754.3135869823</v>
      </c>
    </row>
    <row r="33" customFormat="false" ht="15" hidden="false" customHeight="false" outlineLevel="0" collapsed="false">
      <c r="A33" s="9" t="s">
        <v>285</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row>
    <row r="34" customFormat="false" ht="15" hidden="false" customHeight="false" outlineLevel="0" collapsed="false">
      <c r="A34" s="19" t="s">
        <v>94</v>
      </c>
      <c r="B34" s="7" t="s">
        <v>209</v>
      </c>
      <c r="C34" s="23" t="n">
        <f aca="false">C22-C32</f>
        <v>12128</v>
      </c>
      <c r="D34" s="23" t="n">
        <f aca="false">D22-D32</f>
        <v>12986.492545818</v>
      </c>
      <c r="E34" s="23" t="n">
        <f aca="false">E22-E32</f>
        <v>13895.2202718938</v>
      </c>
      <c r="F34" s="23" t="n">
        <f aca="false">F22-F32</f>
        <v>14856.9230381285</v>
      </c>
      <c r="G34" s="23" t="n">
        <f aca="false">G22-G32</f>
        <v>15874.4854889608</v>
      </c>
      <c r="H34" s="23" t="n">
        <f aca="false">H22-H32</f>
        <v>16950.9445850883</v>
      </c>
      <c r="I34" s="23" t="n">
        <f aca="false">I22-I32</f>
        <v>18089.4975237006</v>
      </c>
      <c r="J34" s="23" t="n">
        <f aca="false">J22-J32</f>
        <v>19293.5100671657</v>
      </c>
      <c r="K34" s="23" t="n">
        <f aca="false">K22-K32</f>
        <v>20566.5253011331</v>
      </c>
      <c r="L34" s="23" t="n">
        <f aca="false">L22-L32</f>
        <v>21912.2728440906</v>
      </c>
      <c r="M34" s="23" t="n">
        <f aca="false">M22-M32</f>
        <v>23334.6785315362</v>
      </c>
      <c r="N34" s="23" t="n">
        <f aca="false">N22-N32</f>
        <v>24837.8745991154</v>
      </c>
      <c r="O34" s="23" t="n">
        <f aca="false">O22-O32</f>
        <v>26426.2103903155</v>
      </c>
      <c r="P34" s="23" t="n">
        <f aca="false">P22-P32</f>
        <v>28104.2636156217</v>
      </c>
      <c r="Q34" s="23" t="n">
        <f aca="false">Q22-Q32</f>
        <v>29876.852191412</v>
      </c>
      <c r="R34" s="23" t="n">
        <f aca="false">R22-R32</f>
        <v>31749.0466883157</v>
      </c>
      <c r="S34" s="23" t="n">
        <f aca="false">S22-S32</f>
        <v>33726.1834202809</v>
      </c>
      <c r="T34" s="23" t="n">
        <f aca="false">T22-T32</f>
        <v>35813.8782071916</v>
      </c>
      <c r="U34" s="23" t="n">
        <f aca="false">U22-U32</f>
        <v>38018.0408455568</v>
      </c>
      <c r="V34" s="23" t="n">
        <f aca="false">V22-V32</f>
        <v>40344.890323555</v>
      </c>
      <c r="W34" s="23" t="n">
        <f aca="false">W22-W32</f>
        <v>42800.9708185761</v>
      </c>
      <c r="X34" s="23" t="n">
        <f aca="false">X22-X32</f>
        <v>45393.1685173489</v>
      </c>
      <c r="Y34" s="23" t="n">
        <f aca="false">Y22-Y32</f>
        <v>48128.7293007926</v>
      </c>
      <c r="Z34" s="23" t="n">
        <f aca="false">Z22-Z32</f>
        <v>51015.2773378832</v>
      </c>
      <c r="AA34" s="23" t="n">
        <f aca="false">AA22-AA32</f>
        <v>54060.83463509</v>
      </c>
      <c r="AB34" s="23" t="n">
        <f aca="false">AB22-AB32</f>
        <v>57273.8415903131</v>
      </c>
      <c r="AC34" s="23" t="n">
        <f aca="false">AC22-AC32</f>
        <v>60663.1786027565</v>
      </c>
      <c r="AD34" s="23" t="n">
        <f aca="false">AD22-AD32</f>
        <v>64238.1887927948</v>
      </c>
      <c r="AE34" s="23" t="n">
        <f aca="false">AE22-AE32</f>
        <v>68008.7018886551</v>
      </c>
      <c r="AF34" s="23" t="n">
        <f aca="false">AF22-AF32</f>
        <v>71985.0593396373</v>
      </c>
      <c r="AG34" s="23" t="n">
        <f aca="false">AG22-AG32</f>
        <v>76178.1407186447</v>
      </c>
      <c r="AH34" s="23" t="n">
        <f aca="false">AH22-AH32</f>
        <v>80599.3914800038</v>
      </c>
      <c r="AI34" s="23" t="n">
        <f aca="false">AI22-AI32</f>
        <v>85260.852141921</v>
      </c>
      <c r="AJ34" s="23" t="n">
        <f aca="false">AJ22-AJ32</f>
        <v>90175.1889664629</v>
      </c>
      <c r="AK34" s="23" t="n">
        <f aca="false">AK22-AK32</f>
        <v>95355.7262136692</v>
      </c>
      <c r="AL34" s="23" t="n">
        <f aca="false">AL22-AL32</f>
        <v>100816.480050319</v>
      </c>
    </row>
    <row r="35" customFormat="false" ht="15" hidden="false" customHeight="false" outlineLevel="0" collapsed="false">
      <c r="A35" s="7" t="s">
        <v>286</v>
      </c>
      <c r="B35" s="7" t="s">
        <v>212</v>
      </c>
      <c r="C35" s="26" t="n">
        <f aca="false">IF(C22=0,0,C34/C22)</f>
        <v>0.41195652173913</v>
      </c>
      <c r="D35" s="26" t="n">
        <f aca="false">IF(D22=0,0,D34/D22)</f>
        <v>0.419951707896799</v>
      </c>
      <c r="E35" s="26" t="n">
        <f aca="false">IF(E22=0,0,E34/E22)</f>
        <v>0.427777761878552</v>
      </c>
      <c r="F35" s="26" t="n">
        <f aca="false">IF(F22=0,0,F34/F22)</f>
        <v>0.435438603738707</v>
      </c>
      <c r="G35" s="26" t="n">
        <f aca="false">IF(G22=0,0,G34/G22)</f>
        <v>0.442938061040283</v>
      </c>
      <c r="H35" s="26" t="n">
        <f aca="false">IF(H22=0,0,H34/H22)</f>
        <v>0.450279871044401</v>
      </c>
      <c r="I35" s="26" t="n">
        <f aca="false">IF(I22=0,0,I34/I22)</f>
        <v>0.457467682847826</v>
      </c>
      <c r="J35" s="26" t="n">
        <f aca="false">IF(J22=0,0,J34/J22)</f>
        <v>0.464505059469888</v>
      </c>
      <c r="K35" s="26" t="n">
        <f aca="false">IF(K22=0,0,K34/K22)</f>
        <v>0.471395479889962</v>
      </c>
      <c r="L35" s="26" t="n">
        <f aca="false">IF(L22=0,0,L34/L22)</f>
        <v>0.478142341036703</v>
      </c>
      <c r="M35" s="26" t="n">
        <f aca="false">IF(M22=0,0,M34/M22)</f>
        <v>0.484748959730153</v>
      </c>
      <c r="N35" s="26" t="n">
        <f aca="false">IF(N22=0,0,N34/N22)</f>
        <v>0.491218574577862</v>
      </c>
      <c r="O35" s="26" t="n">
        <f aca="false">IF(O22=0,0,O34/O22)</f>
        <v>0.497554347826087</v>
      </c>
      <c r="P35" s="26" t="n">
        <f aca="false">IF(P22=0,0,P34/P22)</f>
        <v>0.503759367167154</v>
      </c>
      <c r="Q35" s="26" t="n">
        <f aca="false">IF(Q22=0,0,Q34/Q22)</f>
        <v>0.50983664750401</v>
      </c>
      <c r="R35" s="26" t="n">
        <f aca="false">IF(R22=0,0,R34/R22)</f>
        <v>0.515789132672982</v>
      </c>
      <c r="S35" s="26" t="n">
        <f aca="false">IF(S22=0,0,S34/S22)</f>
        <v>0.521619697125734</v>
      </c>
      <c r="T35" s="26" t="n">
        <f aca="false">IF(T22=0,0,T34/T22)</f>
        <v>0.527331147571385</v>
      </c>
      <c r="U35" s="26" t="n">
        <f aca="false">IF(U22=0,0,U34/U22)</f>
        <v>0.532926224579739</v>
      </c>
      <c r="V35" s="26" t="n">
        <f aca="false">IF(V22=0,0,V34/V22)</f>
        <v>0.538407604146535</v>
      </c>
      <c r="W35" s="26" t="n">
        <f aca="false">IF(W22=0,0,W34/W22)</f>
        <v>0.543777899221635</v>
      </c>
      <c r="X35" s="26" t="n">
        <f aca="false">IF(X22=0,0,X34/X22)</f>
        <v>0.549039661201013</v>
      </c>
      <c r="Y35" s="26" t="n">
        <f aca="false">IF(Y22=0,0,Y34/Y22)</f>
        <v>0.554195381383403</v>
      </c>
      <c r="Z35" s="26" t="n">
        <f aca="false">IF(Z22=0,0,Z34/Z22)</f>
        <v>0.559247492392458</v>
      </c>
      <c r="AA35" s="26" t="n">
        <f aca="false">IF(AA22=0,0,AA34/AA22)</f>
        <v>0.564198369565217</v>
      </c>
      <c r="AB35" s="26" t="n">
        <f aca="false">IF(AB22=0,0,AB34/AB22)</f>
        <v>0.569050332307692</v>
      </c>
      <c r="AC35" s="26" t="n">
        <f aca="false">IF(AC22=0,0,AC34/AC22)</f>
        <v>0.573805645418348</v>
      </c>
      <c r="AD35" s="26" t="n">
        <f aca="false">IF(AD22=0,0,AD34/AD22)</f>
        <v>0.578466520380241</v>
      </c>
      <c r="AE35" s="26" t="n">
        <f aca="false">IF(AE22=0,0,AE34/AE22)</f>
        <v>0.583035116622546</v>
      </c>
      <c r="AF35" s="26" t="n">
        <f aca="false">IF(AF22=0,0,AF34/AF22)</f>
        <v>0.58751354275222</v>
      </c>
      <c r="AG35" s="26" t="n">
        <f aca="false">IF(AG22=0,0,AG34/AG22)</f>
        <v>0.59190385775648</v>
      </c>
      <c r="AH35" s="26" t="n">
        <f aca="false">IF(AH22=0,0,AH34/AH22)</f>
        <v>0.596208072176814</v>
      </c>
      <c r="AI35" s="26" t="n">
        <f aca="false">IF(AI22=0,0,AI34/AI22)</f>
        <v>0.600428149255182</v>
      </c>
      <c r="AJ35" s="26" t="n">
        <f aca="false">IF(AJ22=0,0,AJ34/AJ22)</f>
        <v>0.604566006053071</v>
      </c>
      <c r="AK35" s="26" t="n">
        <f aca="false">IF(AK22=0,0,AK34/AK22)</f>
        <v>0.608623514544051</v>
      </c>
      <c r="AL35" s="26" t="n">
        <f aca="false">IF(AL22=0,0,AL34/AL22)</f>
        <v>0.612602502680452</v>
      </c>
    </row>
    <row r="36" customFormat="false" ht="15" hidden="false" customHeight="false" outlineLevel="0" collapsed="false">
      <c r="A36" s="19" t="s">
        <v>287</v>
      </c>
      <c r="B36" s="7" t="s">
        <v>209</v>
      </c>
      <c r="C36" s="23" t="n">
        <f aca="false">SUM($C34:C34)</f>
        <v>12128</v>
      </c>
      <c r="D36" s="23" t="n">
        <f aca="false">SUM($C34:D34)</f>
        <v>25114.492545818</v>
      </c>
      <c r="E36" s="23" t="n">
        <f aca="false">SUM($C34:E34)</f>
        <v>39009.7128177118</v>
      </c>
      <c r="F36" s="23" t="n">
        <f aca="false">SUM($C34:F34)</f>
        <v>53866.6358558404</v>
      </c>
      <c r="G36" s="23" t="n">
        <f aca="false">SUM($C34:G34)</f>
        <v>69741.1213448011</v>
      </c>
      <c r="H36" s="23" t="n">
        <f aca="false">SUM($C34:H34)</f>
        <v>86692.0659298894</v>
      </c>
      <c r="I36" s="23" t="n">
        <f aca="false">SUM($C34:I34)</f>
        <v>104781.56345359</v>
      </c>
      <c r="J36" s="23" t="n">
        <f aca="false">SUM($C34:J34)</f>
        <v>124075.073520756</v>
      </c>
      <c r="K36" s="23" t="n">
        <f aca="false">SUM($C34:K34)</f>
        <v>144641.598821889</v>
      </c>
      <c r="L36" s="23" t="n">
        <f aca="false">SUM($C34:L34)</f>
        <v>166553.871665979</v>
      </c>
      <c r="M36" s="23" t="n">
        <f aca="false">SUM($C34:M34)</f>
        <v>189888.550197516</v>
      </c>
      <c r="N36" s="23" t="n">
        <f aca="false">SUM($C34:N34)</f>
        <v>214726.424796631</v>
      </c>
      <c r="O36" s="23" t="n">
        <f aca="false">SUM($C34:O34)</f>
        <v>241152.635186946</v>
      </c>
      <c r="P36" s="23" t="n">
        <f aca="false">SUM($C34:P34)</f>
        <v>269256.898802568</v>
      </c>
      <c r="Q36" s="23" t="n">
        <f aca="false">SUM($C34:Q34)</f>
        <v>299133.75099398</v>
      </c>
      <c r="R36" s="23" t="n">
        <f aca="false">SUM($C34:R34)</f>
        <v>330882.797682296</v>
      </c>
      <c r="S36" s="23" t="n">
        <f aca="false">SUM($C34:S34)</f>
        <v>364608.981102577</v>
      </c>
      <c r="T36" s="23" t="n">
        <f aca="false">SUM($C34:T34)</f>
        <v>400422.859309768</v>
      </c>
      <c r="U36" s="23" t="n">
        <f aca="false">SUM($C34:U34)</f>
        <v>438440.900155325</v>
      </c>
      <c r="V36" s="23" t="n">
        <f aca="false">SUM($C34:V34)</f>
        <v>478785.79047888</v>
      </c>
      <c r="W36" s="23" t="n">
        <f aca="false">SUM($C34:W34)</f>
        <v>521586.761297456</v>
      </c>
      <c r="X36" s="23" t="n">
        <f aca="false">SUM($C34:X34)</f>
        <v>566979.929814805</v>
      </c>
      <c r="Y36" s="23" t="n">
        <f aca="false">SUM($C34:Y34)</f>
        <v>615108.659115598</v>
      </c>
      <c r="Z36" s="23" t="n">
        <f aca="false">SUM($C34:Z34)</f>
        <v>666123.936453481</v>
      </c>
      <c r="AA36" s="23" t="n">
        <f aca="false">SUM($C34:AA34)</f>
        <v>720184.771088571</v>
      </c>
      <c r="AB36" s="23" t="n">
        <f aca="false">SUM($C34:AB34)</f>
        <v>777458.612678884</v>
      </c>
      <c r="AC36" s="23" t="n">
        <f aca="false">SUM($C34:AC34)</f>
        <v>838121.791281641</v>
      </c>
      <c r="AD36" s="23" t="n">
        <f aca="false">SUM($C34:AD34)</f>
        <v>902359.980074436</v>
      </c>
      <c r="AE36" s="23" t="n">
        <f aca="false">SUM($C34:AE34)</f>
        <v>970368.68196309</v>
      </c>
      <c r="AF36" s="23" t="n">
        <f aca="false">SUM($C34:AF34)</f>
        <v>1042353.74130273</v>
      </c>
      <c r="AG36" s="23" t="n">
        <f aca="false">SUM($C34:AG34)</f>
        <v>1118531.88202137</v>
      </c>
      <c r="AH36" s="23" t="n">
        <f aca="false">SUM($C34:AH34)</f>
        <v>1199131.27350138</v>
      </c>
      <c r="AI36" s="23" t="n">
        <f aca="false">SUM($C34:AI34)</f>
        <v>1284392.1256433</v>
      </c>
      <c r="AJ36" s="23" t="n">
        <f aca="false">SUM($C34:AJ34)</f>
        <v>1374567.31460976</v>
      </c>
      <c r="AK36" s="23" t="n">
        <f aca="false">SUM($C34:AK34)</f>
        <v>1469923.04082343</v>
      </c>
      <c r="AL36" s="23" t="n">
        <f aca="false">SUM($C34:AL34)</f>
        <v>1570739.52087375</v>
      </c>
    </row>
    <row r="37" customFormat="false" ht="15" hidden="false" customHeight="false" outlineLevel="0" collapsed="false">
      <c r="A37" s="19" t="s">
        <v>288</v>
      </c>
      <c r="B37" s="7" t="s">
        <v>209</v>
      </c>
      <c r="C37" s="23" t="n">
        <f aca="false">C36-Inputs!$C$31</f>
        <v>-737872</v>
      </c>
      <c r="D37" s="23" t="n">
        <f aca="false">D36-Inputs!$C$31</f>
        <v>-724885.507454182</v>
      </c>
      <c r="E37" s="23" t="n">
        <f aca="false">E36-Inputs!$C$31</f>
        <v>-710990.287182288</v>
      </c>
      <c r="F37" s="23" t="n">
        <f aca="false">F36-Inputs!$C$31</f>
        <v>-696133.36414416</v>
      </c>
      <c r="G37" s="23" t="n">
        <f aca="false">G36-Inputs!$C$31</f>
        <v>-680258.878655199</v>
      </c>
      <c r="H37" s="23" t="n">
        <f aca="false">H36-Inputs!$C$31</f>
        <v>-663307.934070111</v>
      </c>
      <c r="I37" s="23" t="n">
        <f aca="false">I36-Inputs!$C$31</f>
        <v>-645218.43654641</v>
      </c>
      <c r="J37" s="23" t="n">
        <f aca="false">J36-Inputs!$C$31</f>
        <v>-625924.926479244</v>
      </c>
      <c r="K37" s="23" t="n">
        <f aca="false">K36-Inputs!$C$31</f>
        <v>-605358.401178111</v>
      </c>
      <c r="L37" s="23" t="n">
        <f aca="false">L36-Inputs!$C$31</f>
        <v>-583446.128334021</v>
      </c>
      <c r="M37" s="23" t="n">
        <f aca="false">M36-Inputs!$C$31</f>
        <v>-560111.449802484</v>
      </c>
      <c r="N37" s="23" t="n">
        <f aca="false">N36-Inputs!$C$31</f>
        <v>-535273.575203369</v>
      </c>
      <c r="O37" s="23" t="n">
        <f aca="false">O36-Inputs!$C$31</f>
        <v>-508847.364813054</v>
      </c>
      <c r="P37" s="23" t="n">
        <f aca="false">P36-Inputs!$C$31</f>
        <v>-480743.101197432</v>
      </c>
      <c r="Q37" s="23" t="n">
        <f aca="false">Q36-Inputs!$C$31</f>
        <v>-450866.24900602</v>
      </c>
      <c r="R37" s="23" t="n">
        <f aca="false">R36-Inputs!$C$31</f>
        <v>-419117.202317704</v>
      </c>
      <c r="S37" s="23" t="n">
        <f aca="false">S36-Inputs!$C$31</f>
        <v>-385391.018897423</v>
      </c>
      <c r="T37" s="23" t="n">
        <f aca="false">T36-Inputs!$C$31</f>
        <v>-349577.140690232</v>
      </c>
      <c r="U37" s="23" t="n">
        <f aca="false">U36-Inputs!$C$31</f>
        <v>-311559.099844675</v>
      </c>
      <c r="V37" s="23" t="n">
        <f aca="false">V36-Inputs!$C$31</f>
        <v>-271214.20952112</v>
      </c>
      <c r="W37" s="23" t="n">
        <f aca="false">W36-Inputs!$C$31</f>
        <v>-228413.238702544</v>
      </c>
      <c r="X37" s="23" t="n">
        <f aca="false">X36-Inputs!$C$31</f>
        <v>-183020.070185195</v>
      </c>
      <c r="Y37" s="23" t="n">
        <f aca="false">Y36-Inputs!$C$31</f>
        <v>-134891.340884402</v>
      </c>
      <c r="Z37" s="23" t="n">
        <f aca="false">Z36-Inputs!$C$31</f>
        <v>-83876.0635465189</v>
      </c>
      <c r="AA37" s="23" t="n">
        <f aca="false">AA36-Inputs!$C$31</f>
        <v>-29815.2289114289</v>
      </c>
      <c r="AB37" s="23" t="n">
        <f aca="false">AB36-Inputs!$C$31</f>
        <v>27458.6126788842</v>
      </c>
      <c r="AC37" s="23" t="n">
        <f aca="false">AC36-Inputs!$C$31</f>
        <v>88121.7912816405</v>
      </c>
      <c r="AD37" s="23" t="n">
        <f aca="false">AD36-Inputs!$C$31</f>
        <v>152359.980074435</v>
      </c>
      <c r="AE37" s="23" t="n">
        <f aca="false">AE36-Inputs!$C$31</f>
        <v>220368.68196309</v>
      </c>
      <c r="AF37" s="23" t="n">
        <f aca="false">AF36-Inputs!$C$31</f>
        <v>292353.741302728</v>
      </c>
      <c r="AG37" s="23" t="n">
        <f aca="false">AG36-Inputs!$C$31</f>
        <v>368531.882021372</v>
      </c>
      <c r="AH37" s="23" t="n">
        <f aca="false">AH36-Inputs!$C$31</f>
        <v>449131.273501376</v>
      </c>
      <c r="AI37" s="23" t="n">
        <f aca="false">AI36-Inputs!$C$31</f>
        <v>534392.125643297</v>
      </c>
      <c r="AJ37" s="23" t="n">
        <f aca="false">AJ36-Inputs!$C$31</f>
        <v>624567.31460976</v>
      </c>
      <c r="AK37" s="23" t="n">
        <f aca="false">AK36-Inputs!$C$31</f>
        <v>719923.040823429</v>
      </c>
      <c r="AL37" s="23" t="n">
        <f aca="false">AL36-Inputs!$C$31</f>
        <v>820739.520873749</v>
      </c>
    </row>
    <row r="38" customFormat="false" ht="15" hidden="false" customHeight="false" outlineLevel="0" collapsed="false">
      <c r="A38" s="7" t="s">
        <v>289</v>
      </c>
      <c r="B38" s="7" t="s">
        <v>290</v>
      </c>
      <c r="C38" s="27" t="n">
        <f aca="false">IF(C37&gt;=0,1,0)</f>
        <v>0</v>
      </c>
      <c r="D38" s="27" t="n">
        <f aca="false">IF(D37&gt;=0,1,0)</f>
        <v>0</v>
      </c>
      <c r="E38" s="27" t="n">
        <f aca="false">IF(E37&gt;=0,1,0)</f>
        <v>0</v>
      </c>
      <c r="F38" s="27" t="n">
        <f aca="false">IF(F37&gt;=0,1,0)</f>
        <v>0</v>
      </c>
      <c r="G38" s="27" t="n">
        <f aca="false">IF(G37&gt;=0,1,0)</f>
        <v>0</v>
      </c>
      <c r="H38" s="27" t="n">
        <f aca="false">IF(H37&gt;=0,1,0)</f>
        <v>0</v>
      </c>
      <c r="I38" s="27" t="n">
        <f aca="false">IF(I37&gt;=0,1,0)</f>
        <v>0</v>
      </c>
      <c r="J38" s="27" t="n">
        <f aca="false">IF(J37&gt;=0,1,0)</f>
        <v>0</v>
      </c>
      <c r="K38" s="27" t="n">
        <f aca="false">IF(K37&gt;=0,1,0)</f>
        <v>0</v>
      </c>
      <c r="L38" s="27" t="n">
        <f aca="false">IF(L37&gt;=0,1,0)</f>
        <v>0</v>
      </c>
      <c r="M38" s="27" t="n">
        <f aca="false">IF(M37&gt;=0,1,0)</f>
        <v>0</v>
      </c>
      <c r="N38" s="27" t="n">
        <f aca="false">IF(N37&gt;=0,1,0)</f>
        <v>0</v>
      </c>
      <c r="O38" s="27" t="n">
        <f aca="false">IF(O37&gt;=0,1,0)</f>
        <v>0</v>
      </c>
      <c r="P38" s="27" t="n">
        <f aca="false">IF(P37&gt;=0,1,0)</f>
        <v>0</v>
      </c>
      <c r="Q38" s="27" t="n">
        <f aca="false">IF(Q37&gt;=0,1,0)</f>
        <v>0</v>
      </c>
      <c r="R38" s="27" t="n">
        <f aca="false">IF(R37&gt;=0,1,0)</f>
        <v>0</v>
      </c>
      <c r="S38" s="27" t="n">
        <f aca="false">IF(S37&gt;=0,1,0)</f>
        <v>0</v>
      </c>
      <c r="T38" s="27" t="n">
        <f aca="false">IF(T37&gt;=0,1,0)</f>
        <v>0</v>
      </c>
      <c r="U38" s="27" t="n">
        <f aca="false">IF(U37&gt;=0,1,0)</f>
        <v>0</v>
      </c>
      <c r="V38" s="27" t="n">
        <f aca="false">IF(V37&gt;=0,1,0)</f>
        <v>0</v>
      </c>
      <c r="W38" s="27" t="n">
        <f aca="false">IF(W37&gt;=0,1,0)</f>
        <v>0</v>
      </c>
      <c r="X38" s="27" t="n">
        <f aca="false">IF(X37&gt;=0,1,0)</f>
        <v>0</v>
      </c>
      <c r="Y38" s="27" t="n">
        <f aca="false">IF(Y37&gt;=0,1,0)</f>
        <v>0</v>
      </c>
      <c r="Z38" s="27" t="n">
        <f aca="false">IF(Z37&gt;=0,1,0)</f>
        <v>0</v>
      </c>
      <c r="AA38" s="27" t="n">
        <f aca="false">IF(AA37&gt;=0,1,0)</f>
        <v>0</v>
      </c>
      <c r="AB38" s="27" t="n">
        <f aca="false">IF(AB37&gt;=0,1,0)</f>
        <v>1</v>
      </c>
      <c r="AC38" s="27" t="n">
        <f aca="false">IF(AC37&gt;=0,1,0)</f>
        <v>1</v>
      </c>
      <c r="AD38" s="27" t="n">
        <f aca="false">IF(AD37&gt;=0,1,0)</f>
        <v>1</v>
      </c>
      <c r="AE38" s="27" t="n">
        <f aca="false">IF(AE37&gt;=0,1,0)</f>
        <v>1</v>
      </c>
      <c r="AF38" s="27" t="n">
        <f aca="false">IF(AF37&gt;=0,1,0)</f>
        <v>1</v>
      </c>
      <c r="AG38" s="27" t="n">
        <f aca="false">IF(AG37&gt;=0,1,0)</f>
        <v>1</v>
      </c>
      <c r="AH38" s="27" t="n">
        <f aca="false">IF(AH37&gt;=0,1,0)</f>
        <v>1</v>
      </c>
      <c r="AI38" s="27" t="n">
        <f aca="false">IF(AI37&gt;=0,1,0)</f>
        <v>1</v>
      </c>
      <c r="AJ38" s="27" t="n">
        <f aca="false">IF(AJ37&gt;=0,1,0)</f>
        <v>1</v>
      </c>
      <c r="AK38" s="27" t="n">
        <f aca="false">IF(AK37&gt;=0,1,0)</f>
        <v>1</v>
      </c>
      <c r="AL38" s="27" t="n">
        <f aca="false">IF(AL37&gt;=0,1,0)</f>
        <v>1</v>
      </c>
    </row>
    <row r="39" customFormat="false" ht="15" hidden="false" customHeight="false" outlineLevel="0" collapsed="false">
      <c r="A39" s="9" t="s">
        <v>291</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row>
    <row r="40" customFormat="false" ht="15" hidden="false" customHeight="false" outlineLevel="0" collapsed="false">
      <c r="A40" s="7" t="s">
        <v>292</v>
      </c>
      <c r="B40" s="7" t="s">
        <v>209</v>
      </c>
      <c r="C40" s="28" t="n">
        <f aca="false">IF(C13=0,0,C22/(C13/1000))</f>
        <v>73.6</v>
      </c>
      <c r="D40" s="28" t="n">
        <f aca="false">IF(D13=0,0,D22/(D13/1000))</f>
        <v>73.6</v>
      </c>
      <c r="E40" s="28" t="n">
        <f aca="false">IF(E13=0,0,E22/(E13/1000))</f>
        <v>73.6</v>
      </c>
      <c r="F40" s="28" t="n">
        <f aca="false">IF(F13=0,0,F22/(F13/1000))</f>
        <v>73.6</v>
      </c>
      <c r="G40" s="28" t="n">
        <f aca="false">IF(G13=0,0,G22/(G13/1000))</f>
        <v>73.6</v>
      </c>
      <c r="H40" s="28" t="n">
        <f aca="false">IF(H13=0,0,H22/(H13/1000))</f>
        <v>73.6</v>
      </c>
      <c r="I40" s="28" t="n">
        <f aca="false">IF(I13=0,0,I22/(I13/1000))</f>
        <v>73.6</v>
      </c>
      <c r="J40" s="28" t="n">
        <f aca="false">IF(J13=0,0,J22/(J13/1000))</f>
        <v>73.6</v>
      </c>
      <c r="K40" s="28" t="n">
        <f aca="false">IF(K13=0,0,K22/(K13/1000))</f>
        <v>73.6</v>
      </c>
      <c r="L40" s="28" t="n">
        <f aca="false">IF(L13=0,0,L22/(L13/1000))</f>
        <v>73.6</v>
      </c>
      <c r="M40" s="28" t="n">
        <f aca="false">IF(M13=0,0,M22/(M13/1000))</f>
        <v>73.6</v>
      </c>
      <c r="N40" s="28" t="n">
        <f aca="false">IF(N13=0,0,N22/(N13/1000))</f>
        <v>73.6</v>
      </c>
      <c r="O40" s="28" t="n">
        <f aca="false">IF(O13=0,0,O22/(O13/1000))</f>
        <v>73.6</v>
      </c>
      <c r="P40" s="28" t="n">
        <f aca="false">IF(P13=0,0,P22/(P13/1000))</f>
        <v>73.6</v>
      </c>
      <c r="Q40" s="28" t="n">
        <f aca="false">IF(Q13=0,0,Q22/(Q13/1000))</f>
        <v>73.6</v>
      </c>
      <c r="R40" s="28" t="n">
        <f aca="false">IF(R13=0,0,R22/(R13/1000))</f>
        <v>73.6</v>
      </c>
      <c r="S40" s="28" t="n">
        <f aca="false">IF(S13=0,0,S22/(S13/1000))</f>
        <v>73.6</v>
      </c>
      <c r="T40" s="28" t="n">
        <f aca="false">IF(T13=0,0,T22/(T13/1000))</f>
        <v>73.6</v>
      </c>
      <c r="U40" s="28" t="n">
        <f aca="false">IF(U13=0,0,U22/(U13/1000))</f>
        <v>73.6</v>
      </c>
      <c r="V40" s="28" t="n">
        <f aca="false">IF(V13=0,0,V22/(V13/1000))</f>
        <v>73.6</v>
      </c>
      <c r="W40" s="28" t="n">
        <f aca="false">IF(W13=0,0,W22/(W13/1000))</f>
        <v>73.6</v>
      </c>
      <c r="X40" s="28" t="n">
        <f aca="false">IF(X13=0,0,X22/(X13/1000))</f>
        <v>73.6</v>
      </c>
      <c r="Y40" s="28" t="n">
        <f aca="false">IF(Y13=0,0,Y22/(Y13/1000))</f>
        <v>73.6</v>
      </c>
      <c r="Z40" s="28" t="n">
        <f aca="false">IF(Z13=0,0,Z22/(Z13/1000))</f>
        <v>73.6</v>
      </c>
      <c r="AA40" s="28" t="n">
        <f aca="false">IF(AA13=0,0,AA22/(AA13/1000))</f>
        <v>73.6</v>
      </c>
      <c r="AB40" s="28" t="n">
        <f aca="false">IF(AB13=0,0,AB22/(AB13/1000))</f>
        <v>73.6</v>
      </c>
      <c r="AC40" s="28" t="n">
        <f aca="false">IF(AC13=0,0,AC22/(AC13/1000))</f>
        <v>73.6</v>
      </c>
      <c r="AD40" s="28" t="n">
        <f aca="false">IF(AD13=0,0,AD22/(AD13/1000))</f>
        <v>73.6</v>
      </c>
      <c r="AE40" s="28" t="n">
        <f aca="false">IF(AE13=0,0,AE22/(AE13/1000))</f>
        <v>73.6</v>
      </c>
      <c r="AF40" s="28" t="n">
        <f aca="false">IF(AF13=0,0,AF22/(AF13/1000))</f>
        <v>73.6</v>
      </c>
      <c r="AG40" s="28" t="n">
        <f aca="false">IF(AG13=0,0,AG22/(AG13/1000))</f>
        <v>73.6</v>
      </c>
      <c r="AH40" s="28" t="n">
        <f aca="false">IF(AH13=0,0,AH22/(AH13/1000))</f>
        <v>73.6</v>
      </c>
      <c r="AI40" s="28" t="n">
        <f aca="false">IF(AI13=0,0,AI22/(AI13/1000))</f>
        <v>73.6</v>
      </c>
      <c r="AJ40" s="28" t="n">
        <f aca="false">IF(AJ13=0,0,AJ22/(AJ13/1000))</f>
        <v>73.6</v>
      </c>
      <c r="AK40" s="28" t="n">
        <f aca="false">IF(AK13=0,0,AK22/(AK13/1000))</f>
        <v>73.6</v>
      </c>
      <c r="AL40" s="28" t="n">
        <f aca="false">IF(AL13=0,0,AL22/(AL13/1000))</f>
        <v>73.6</v>
      </c>
    </row>
    <row r="41" customFormat="false" ht="15" hidden="false" customHeight="false" outlineLevel="0" collapsed="false">
      <c r="A41" s="7" t="s">
        <v>293</v>
      </c>
      <c r="B41" s="7" t="s">
        <v>209</v>
      </c>
      <c r="C41" s="28" t="n">
        <f aca="false">IF(C13=0,0,C32/(C13/1000))</f>
        <v>43.28</v>
      </c>
      <c r="D41" s="28" t="n">
        <f aca="false">IF(D13=0,0,D32/(D13/1000))</f>
        <v>42.6915542987956</v>
      </c>
      <c r="E41" s="28" t="n">
        <f aca="false">IF(E13=0,0,E32/(E13/1000))</f>
        <v>42.1155567257386</v>
      </c>
      <c r="F41" s="28" t="n">
        <f aca="false">IF(F13=0,0,F32/(F13/1000))</f>
        <v>41.5517187648312</v>
      </c>
      <c r="G41" s="28" t="n">
        <f aca="false">IF(G13=0,0,G32/(G13/1000))</f>
        <v>40.9997587074352</v>
      </c>
      <c r="H41" s="28" t="n">
        <f aca="false">IF(H13=0,0,H32/(H13/1000))</f>
        <v>40.4594014911321</v>
      </c>
      <c r="I41" s="28" t="n">
        <f aca="false">IF(I13=0,0,I32/(I13/1000))</f>
        <v>39.9303785424</v>
      </c>
      <c r="J41" s="28" t="n">
        <f aca="false">IF(J13=0,0,J32/(J13/1000))</f>
        <v>39.4124276230163</v>
      </c>
      <c r="K41" s="28" t="n">
        <f aca="false">IF(K13=0,0,K32/(K13/1000))</f>
        <v>38.9052926800988</v>
      </c>
      <c r="L41" s="28" t="n">
        <f aca="false">IF(L13=0,0,L32/(L13/1000))</f>
        <v>38.4087236996987</v>
      </c>
      <c r="M41" s="28" t="n">
        <f aca="false">IF(M13=0,0,M32/(M13/1000))</f>
        <v>37.9224765638607</v>
      </c>
      <c r="N41" s="28" t="n">
        <f aca="false">IF(N13=0,0,N32/(N13/1000))</f>
        <v>37.4463129110694</v>
      </c>
      <c r="O41" s="28" t="n">
        <f aca="false">IF(O13=0,0,O32/(O13/1000))</f>
        <v>36.98</v>
      </c>
      <c r="P41" s="28" t="n">
        <f aca="false">IF(P13=0,0,P32/(P13/1000))</f>
        <v>36.5233105764975</v>
      </c>
      <c r="Q41" s="28" t="n">
        <f aca="false">IF(Q13=0,0,Q32/(Q13/1000))</f>
        <v>36.0760227437049</v>
      </c>
      <c r="R41" s="28" t="n">
        <f aca="false">IF(R13=0,0,R32/(R13/1000))</f>
        <v>35.6379198352685</v>
      </c>
      <c r="S41" s="28" t="n">
        <f aca="false">IF(S13=0,0,S32/(S13/1000))</f>
        <v>35.208790291546</v>
      </c>
      <c r="T41" s="28" t="n">
        <f aca="false">IF(T13=0,0,T32/(T13/1000))</f>
        <v>34.788427538746</v>
      </c>
      <c r="U41" s="28" t="n">
        <f aca="false">IF(U13=0,0,U32/(U13/1000))</f>
        <v>34.3766298709312</v>
      </c>
      <c r="V41" s="28" t="n">
        <f aca="false">IF(V13=0,0,V32/(V13/1000))</f>
        <v>33.9732003348151</v>
      </c>
      <c r="W41" s="28" t="n">
        <f aca="false">IF(W13=0,0,W32/(W13/1000))</f>
        <v>33.5779466172877</v>
      </c>
      <c r="X41" s="28" t="n">
        <f aca="false">IF(X13=0,0,X32/(X13/1000))</f>
        <v>33.1906809356055</v>
      </c>
      <c r="Y41" s="28" t="n">
        <f aca="false">IF(Y13=0,0,Y32/(Y13/1000))</f>
        <v>32.8112199301816</v>
      </c>
      <c r="Z41" s="28" t="n">
        <f aca="false">IF(Z13=0,0,Z32/(Z13/1000))</f>
        <v>32.4393845599151</v>
      </c>
      <c r="AA41" s="28" t="n">
        <f aca="false">IF(AA13=0,0,AA32/(AA13/1000))</f>
        <v>32.075</v>
      </c>
      <c r="AB41" s="28" t="n">
        <f aca="false">IF(AB13=0,0,AB32/(AB13/1000))</f>
        <v>31.7178955421539</v>
      </c>
      <c r="AC41" s="28" t="n">
        <f aca="false">IF(AC13=0,0,AC32/(AC13/1000))</f>
        <v>31.3679044972096</v>
      </c>
      <c r="AD41" s="28" t="n">
        <f aca="false">IF(AD13=0,0,AD32/(AD13/1000))</f>
        <v>31.0248641000143</v>
      </c>
      <c r="AE41" s="28" t="n">
        <f aca="false">IF(AE13=0,0,AE32/(AE13/1000))</f>
        <v>30.6886154165806</v>
      </c>
      <c r="AF41" s="28" t="n">
        <f aca="false">IF(AF13=0,0,AF32/(AF13/1000))</f>
        <v>30.3590032534366</v>
      </c>
      <c r="AG41" s="28" t="n">
        <f aca="false">IF(AG13=0,0,AG32/(AG13/1000))</f>
        <v>30.0358760691231</v>
      </c>
      <c r="AH41" s="28" t="n">
        <f aca="false">IF(AH13=0,0,AH32/(AH13/1000))</f>
        <v>29.7190858877865</v>
      </c>
      <c r="AI41" s="28" t="n">
        <f aca="false">IF(AI13=0,0,AI32/(AI13/1000))</f>
        <v>29.4084882148186</v>
      </c>
      <c r="AJ41" s="28" t="n">
        <f aca="false">IF(AJ13=0,0,AJ32/(AJ13/1000))</f>
        <v>29.103941954494</v>
      </c>
      <c r="AK41" s="28" t="n">
        <f aca="false">IF(AK13=0,0,AK32/(AK13/1000))</f>
        <v>28.8053093295579</v>
      </c>
      <c r="AL41" s="28" t="n">
        <f aca="false">IF(AL13=0,0,AL32/(AL13/1000))</f>
        <v>28.5124558027187</v>
      </c>
    </row>
    <row r="42" customFormat="false" ht="15" hidden="false" customHeight="false" outlineLevel="0" collapsed="false">
      <c r="A42" s="7" t="s">
        <v>294</v>
      </c>
      <c r="B42" s="7" t="s">
        <v>209</v>
      </c>
      <c r="C42" s="28" t="n">
        <f aca="false">IF(C13=0,0,C30/(C13/1000))</f>
        <v>18</v>
      </c>
      <c r="D42" s="28" t="n">
        <f aca="false">IF(D13=0,0,D30/(D13/1000))</f>
        <v>17.9232242620039</v>
      </c>
      <c r="E42" s="28" t="n">
        <f aca="false">IF(E13=0,0,E30/(E13/1000))</f>
        <v>17.8467759970048</v>
      </c>
      <c r="F42" s="28" t="n">
        <f aca="false">IF(F13=0,0,F30/(F13/1000))</f>
        <v>17.7706538082258</v>
      </c>
      <c r="G42" s="28" t="n">
        <f aca="false">IF(G13=0,0,G30/(G13/1000))</f>
        <v>17.6948563048481</v>
      </c>
      <c r="H42" s="28" t="n">
        <f aca="false">IF(H13=0,0,H30/(H13/1000))</f>
        <v>17.6193821019847</v>
      </c>
      <c r="I42" s="28" t="n">
        <f aca="false">IF(I13=0,0,I30/(I13/1000))</f>
        <v>17.5442298206561</v>
      </c>
      <c r="J42" s="28" t="n">
        <f aca="false">IF(J13=0,0,J30/(J13/1000))</f>
        <v>17.4693980877643</v>
      </c>
      <c r="K42" s="28" t="n">
        <f aca="false">IF(K13=0,0,K30/(K13/1000))</f>
        <v>17.3948855360678</v>
      </c>
      <c r="L42" s="28" t="n">
        <f aca="false">IF(L13=0,0,L30/(L13/1000))</f>
        <v>17.3206908041573</v>
      </c>
      <c r="M42" s="28" t="n">
        <f aca="false">IF(M13=0,0,M30/(M13/1000))</f>
        <v>17.24681253643</v>
      </c>
      <c r="N42" s="28" t="n">
        <f aca="false">IF(N13=0,0,N30/(N13/1000))</f>
        <v>17.1732493830653</v>
      </c>
      <c r="O42" s="28" t="n">
        <f aca="false">IF(O13=0,0,O30/(O13/1000))</f>
        <v>17.1</v>
      </c>
      <c r="P42" s="28" t="n">
        <f aca="false">IF(P13=0,0,P30/(P13/1000))</f>
        <v>17.0270630489037</v>
      </c>
      <c r="Q42" s="28" t="n">
        <f aca="false">IF(Q13=0,0,Q30/(Q13/1000))</f>
        <v>16.9544371971545</v>
      </c>
      <c r="R42" s="28" t="n">
        <f aca="false">IF(R13=0,0,R30/(R13/1000))</f>
        <v>16.8821211178145</v>
      </c>
      <c r="S42" s="28" t="n">
        <f aca="false">IF(S13=0,0,S30/(S13/1000))</f>
        <v>16.8101134896057</v>
      </c>
      <c r="T42" s="28" t="n">
        <f aca="false">IF(T13=0,0,T30/(T13/1000))</f>
        <v>16.7384129968855</v>
      </c>
      <c r="U42" s="28" t="n">
        <f aca="false">IF(U13=0,0,U30/(U13/1000))</f>
        <v>16.6670183296233</v>
      </c>
      <c r="V42" s="28" t="n">
        <f aca="false">IF(V13=0,0,V30/(V13/1000))</f>
        <v>16.595928183376</v>
      </c>
      <c r="W42" s="28" t="n">
        <f aca="false">IF(W13=0,0,W30/(W13/1000))</f>
        <v>16.5251412592644</v>
      </c>
      <c r="X42" s="28" t="n">
        <f aca="false">IF(X13=0,0,X30/(X13/1000))</f>
        <v>16.4546562639495</v>
      </c>
      <c r="Y42" s="28" t="n">
        <f aca="false">IF(Y13=0,0,Y30/(Y13/1000))</f>
        <v>16.3844719096085</v>
      </c>
      <c r="Z42" s="28" t="n">
        <f aca="false">IF(Z13=0,0,Z30/(Z13/1000))</f>
        <v>16.3145869139121</v>
      </c>
      <c r="AA42" s="28" t="n">
        <f aca="false">IF(AA13=0,0,AA30/(AA13/1000))</f>
        <v>16.245</v>
      </c>
      <c r="AB42" s="28" t="n">
        <f aca="false">IF(AB13=0,0,AB30/(AB13/1000))</f>
        <v>16.1757098964585</v>
      </c>
      <c r="AC42" s="28" t="n">
        <f aca="false">IF(AC13=0,0,AC30/(AC13/1000))</f>
        <v>16.1067153372968</v>
      </c>
      <c r="AD42" s="28" t="n">
        <f aca="false">IF(AD13=0,0,AD30/(AD13/1000))</f>
        <v>16.0380150619238</v>
      </c>
      <c r="AE42" s="28" t="n">
        <f aca="false">IF(AE13=0,0,AE30/(AE13/1000))</f>
        <v>15.9696078151254</v>
      </c>
      <c r="AF42" s="28" t="n">
        <f aca="false">IF(AF13=0,0,AF30/(AF13/1000))</f>
        <v>15.9014923470412</v>
      </c>
      <c r="AG42" s="28" t="n">
        <f aca="false">IF(AG13=0,0,AG30/(AG13/1000))</f>
        <v>15.8336674131422</v>
      </c>
      <c r="AH42" s="28" t="n">
        <f aca="false">IF(AH13=0,0,AH30/(AH13/1000))</f>
        <v>15.7661317742072</v>
      </c>
      <c r="AI42" s="28" t="n">
        <f aca="false">IF(AI13=0,0,AI30/(AI13/1000))</f>
        <v>15.6988841963012</v>
      </c>
      <c r="AJ42" s="28" t="n">
        <f aca="false">IF(AJ13=0,0,AJ30/(AJ13/1000))</f>
        <v>15.631923450752</v>
      </c>
      <c r="AK42" s="28" t="n">
        <f aca="false">IF(AK13=0,0,AK30/(AK13/1000))</f>
        <v>15.5652483141281</v>
      </c>
      <c r="AL42" s="28" t="n">
        <f aca="false">IF(AL13=0,0,AL30/(AL13/1000))</f>
        <v>15.4988575682164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8" min="3" style="0" width="13"/>
  </cols>
  <sheetData>
    <row r="1" customFormat="false" ht="17.35" hidden="false" customHeight="false" outlineLevel="0" collapsed="false">
      <c r="A1" s="1" t="s">
        <v>296</v>
      </c>
    </row>
    <row r="2" customFormat="false" ht="15" hidden="false" customHeight="false" outlineLevel="0" collapsed="false">
      <c r="A2" s="3" t="s">
        <v>266</v>
      </c>
      <c r="B2" s="4" t="s">
        <v>196</v>
      </c>
    </row>
    <row r="3" customFormat="false" ht="15" hidden="false" customHeight="false" outlineLevel="0" collapsed="false">
      <c r="A3" s="7" t="s">
        <v>182</v>
      </c>
      <c r="B3" s="17" t="n">
        <f aca="false">Inputs!E5</f>
        <v>0.06</v>
      </c>
    </row>
    <row r="4" customFormat="false" ht="15" hidden="false" customHeight="false" outlineLevel="0" collapsed="false">
      <c r="A4" s="7" t="s">
        <v>185</v>
      </c>
      <c r="B4" s="17" t="n">
        <f aca="false">Inputs!E6</f>
        <v>0.015</v>
      </c>
    </row>
    <row r="5" customFormat="false" ht="15" hidden="false" customHeight="false" outlineLevel="0" collapsed="false">
      <c r="A5" s="7" t="s">
        <v>187</v>
      </c>
      <c r="B5" s="17" t="n">
        <f aca="false">Inputs!E7</f>
        <v>0.4</v>
      </c>
    </row>
    <row r="6" customFormat="false" ht="15" hidden="false" customHeight="false" outlineLevel="0" collapsed="false">
      <c r="A6" s="7" t="s">
        <v>190</v>
      </c>
      <c r="B6" s="17" t="n">
        <f aca="false">Inputs!E8</f>
        <v>0.1</v>
      </c>
    </row>
    <row r="7" customFormat="false" ht="15" hidden="false" customHeight="false" outlineLevel="0" collapsed="false">
      <c r="A7" s="7" t="s">
        <v>192</v>
      </c>
      <c r="B7" s="17" t="n">
        <f aca="false">Inputs!E9</f>
        <v>0.2</v>
      </c>
    </row>
    <row r="8" customFormat="false" ht="15" hidden="false" customHeight="false" outlineLevel="0" collapsed="false">
      <c r="A8" s="3" t="s">
        <v>267</v>
      </c>
      <c r="B8" s="4" t="s">
        <v>178</v>
      </c>
      <c r="C8" s="18" t="n">
        <v>1</v>
      </c>
      <c r="D8" s="18" t="n">
        <v>2</v>
      </c>
      <c r="E8" s="18" t="n">
        <v>3</v>
      </c>
      <c r="F8" s="18" t="n">
        <v>4</v>
      </c>
      <c r="G8" s="18" t="n">
        <v>5</v>
      </c>
      <c r="H8" s="18" t="n">
        <v>6</v>
      </c>
      <c r="I8" s="18" t="n">
        <v>7</v>
      </c>
      <c r="J8" s="18" t="n">
        <v>8</v>
      </c>
      <c r="K8" s="18" t="n">
        <v>9</v>
      </c>
      <c r="L8" s="18" t="n">
        <v>10</v>
      </c>
      <c r="M8" s="18" t="n">
        <v>11</v>
      </c>
      <c r="N8" s="18" t="n">
        <v>12</v>
      </c>
      <c r="O8" s="18" t="n">
        <v>13</v>
      </c>
      <c r="P8" s="18" t="n">
        <v>14</v>
      </c>
      <c r="Q8" s="18" t="n">
        <v>15</v>
      </c>
      <c r="R8" s="18" t="n">
        <v>16</v>
      </c>
      <c r="S8" s="18" t="n">
        <v>17</v>
      </c>
      <c r="T8" s="18" t="n">
        <v>18</v>
      </c>
      <c r="U8" s="18" t="n">
        <v>19</v>
      </c>
      <c r="V8" s="18" t="n">
        <v>20</v>
      </c>
      <c r="W8" s="18" t="n">
        <v>21</v>
      </c>
      <c r="X8" s="18" t="n">
        <v>22</v>
      </c>
      <c r="Y8" s="18" t="n">
        <v>23</v>
      </c>
      <c r="Z8" s="18" t="n">
        <v>24</v>
      </c>
      <c r="AA8" s="18" t="n">
        <v>25</v>
      </c>
      <c r="AB8" s="18" t="n">
        <v>26</v>
      </c>
      <c r="AC8" s="18" t="n">
        <v>27</v>
      </c>
      <c r="AD8" s="18" t="n">
        <v>28</v>
      </c>
      <c r="AE8" s="18" t="n">
        <v>29</v>
      </c>
      <c r="AF8" s="18" t="n">
        <v>30</v>
      </c>
      <c r="AG8" s="18" t="n">
        <v>31</v>
      </c>
      <c r="AH8" s="18" t="n">
        <v>32</v>
      </c>
      <c r="AI8" s="18" t="n">
        <v>33</v>
      </c>
      <c r="AJ8" s="18" t="n">
        <v>34</v>
      </c>
      <c r="AK8" s="18" t="n">
        <v>35</v>
      </c>
      <c r="AL8" s="18" t="n">
        <v>36</v>
      </c>
    </row>
    <row r="9" customFormat="false" ht="15" hidden="false" customHeight="false" outlineLevel="0" collapsed="false">
      <c r="A9" s="19" t="s">
        <v>268</v>
      </c>
      <c r="C9" s="20" t="n">
        <f aca="false">ROUNDUP(C8/12,0)</f>
        <v>1</v>
      </c>
      <c r="D9" s="20" t="n">
        <f aca="false">ROUNDUP(D8/12,0)</f>
        <v>1</v>
      </c>
      <c r="E9" s="20" t="n">
        <f aca="false">ROUNDUP(E8/12,0)</f>
        <v>1</v>
      </c>
      <c r="F9" s="20" t="n">
        <f aca="false">ROUNDUP(F8/12,0)</f>
        <v>1</v>
      </c>
      <c r="G9" s="20" t="n">
        <f aca="false">ROUNDUP(G8/12,0)</f>
        <v>1</v>
      </c>
      <c r="H9" s="20" t="n">
        <f aca="false">ROUNDUP(H8/12,0)</f>
        <v>1</v>
      </c>
      <c r="I9" s="20" t="n">
        <f aca="false">ROUNDUP(I8/12,0)</f>
        <v>1</v>
      </c>
      <c r="J9" s="20" t="n">
        <f aca="false">ROUNDUP(J8/12,0)</f>
        <v>1</v>
      </c>
      <c r="K9" s="20" t="n">
        <f aca="false">ROUNDUP(K8/12,0)</f>
        <v>1</v>
      </c>
      <c r="L9" s="20" t="n">
        <f aca="false">ROUNDUP(L8/12,0)</f>
        <v>1</v>
      </c>
      <c r="M9" s="20" t="n">
        <f aca="false">ROUNDUP(M8/12,0)</f>
        <v>1</v>
      </c>
      <c r="N9" s="20" t="n">
        <f aca="false">ROUNDUP(N8/12,0)</f>
        <v>1</v>
      </c>
      <c r="O9" s="20" t="n">
        <f aca="false">ROUNDUP(O8/12,0)</f>
        <v>2</v>
      </c>
      <c r="P9" s="20" t="n">
        <f aca="false">ROUNDUP(P8/12,0)</f>
        <v>2</v>
      </c>
      <c r="Q9" s="20" t="n">
        <f aca="false">ROUNDUP(Q8/12,0)</f>
        <v>2</v>
      </c>
      <c r="R9" s="20" t="n">
        <f aca="false">ROUNDUP(R8/12,0)</f>
        <v>2</v>
      </c>
      <c r="S9" s="20" t="n">
        <f aca="false">ROUNDUP(S8/12,0)</f>
        <v>2</v>
      </c>
      <c r="T9" s="20" t="n">
        <f aca="false">ROUNDUP(T8/12,0)</f>
        <v>2</v>
      </c>
      <c r="U9" s="20" t="n">
        <f aca="false">ROUNDUP(U8/12,0)</f>
        <v>2</v>
      </c>
      <c r="V9" s="20" t="n">
        <f aca="false">ROUNDUP(V8/12,0)</f>
        <v>2</v>
      </c>
      <c r="W9" s="20" t="n">
        <f aca="false">ROUNDUP(W8/12,0)</f>
        <v>2</v>
      </c>
      <c r="X9" s="20" t="n">
        <f aca="false">ROUNDUP(X8/12,0)</f>
        <v>2</v>
      </c>
      <c r="Y9" s="20" t="n">
        <f aca="false">ROUNDUP(Y8/12,0)</f>
        <v>2</v>
      </c>
      <c r="Z9" s="20" t="n">
        <f aca="false">ROUNDUP(Z8/12,0)</f>
        <v>2</v>
      </c>
      <c r="AA9" s="20" t="n">
        <f aca="false">ROUNDUP(AA8/12,0)</f>
        <v>3</v>
      </c>
      <c r="AB9" s="20" t="n">
        <f aca="false">ROUNDUP(AB8/12,0)</f>
        <v>3</v>
      </c>
      <c r="AC9" s="20" t="n">
        <f aca="false">ROUNDUP(AC8/12,0)</f>
        <v>3</v>
      </c>
      <c r="AD9" s="20" t="n">
        <f aca="false">ROUNDUP(AD8/12,0)</f>
        <v>3</v>
      </c>
      <c r="AE9" s="20" t="n">
        <f aca="false">ROUNDUP(AE8/12,0)</f>
        <v>3</v>
      </c>
      <c r="AF9" s="20" t="n">
        <f aca="false">ROUNDUP(AF8/12,0)</f>
        <v>3</v>
      </c>
      <c r="AG9" s="20" t="n">
        <f aca="false">ROUNDUP(AG8/12,0)</f>
        <v>3</v>
      </c>
      <c r="AH9" s="20" t="n">
        <f aca="false">ROUNDUP(AH8/12,0)</f>
        <v>3</v>
      </c>
      <c r="AI9" s="20" t="n">
        <f aca="false">ROUNDUP(AI8/12,0)</f>
        <v>3</v>
      </c>
      <c r="AJ9" s="20" t="n">
        <f aca="false">ROUNDUP(AJ8/12,0)</f>
        <v>3</v>
      </c>
      <c r="AK9" s="20" t="n">
        <f aca="false">ROUNDUP(AK8/12,0)</f>
        <v>3</v>
      </c>
      <c r="AL9" s="20" t="n">
        <f aca="false">ROUNDUP(AL8/12,0)</f>
        <v>3</v>
      </c>
    </row>
    <row r="10" customFormat="false" ht="15" hidden="false" customHeight="false" outlineLevel="0" collapsed="false">
      <c r="A10" s="9" t="s">
        <v>198</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row>
    <row r="11" customFormat="false" ht="15" hidden="false" customHeight="false" outlineLevel="0" collapsed="false">
      <c r="A11" s="7" t="s">
        <v>55</v>
      </c>
      <c r="B11" s="7" t="s">
        <v>200</v>
      </c>
      <c r="C11" s="21" t="n">
        <f aca="false">Inputs!$C$13*(1+$B$3)^(C$8-1)</f>
        <v>200</v>
      </c>
      <c r="D11" s="21" t="n">
        <f aca="false">Inputs!$C$13*(1+$B$3)^(D$8-1)</f>
        <v>212</v>
      </c>
      <c r="E11" s="21" t="n">
        <f aca="false">Inputs!$C$13*(1+$B$3)^(E$8-1)</f>
        <v>224.72</v>
      </c>
      <c r="F11" s="21" t="n">
        <f aca="false">Inputs!$C$13*(1+$B$3)^(F$8-1)</f>
        <v>238.2032</v>
      </c>
      <c r="G11" s="21" t="n">
        <f aca="false">Inputs!$C$13*(1+$B$3)^(G$8-1)</f>
        <v>252.495392</v>
      </c>
      <c r="H11" s="21" t="n">
        <f aca="false">Inputs!$C$13*(1+$B$3)^(H$8-1)</f>
        <v>267.64511552</v>
      </c>
      <c r="I11" s="21" t="n">
        <f aca="false">Inputs!$C$13*(1+$B$3)^(I$8-1)</f>
        <v>283.7038224512</v>
      </c>
      <c r="J11" s="21" t="n">
        <f aca="false">Inputs!$C$13*(1+$B$3)^(J$8-1)</f>
        <v>300.726051798272</v>
      </c>
      <c r="K11" s="21" t="n">
        <f aca="false">Inputs!$C$13*(1+$B$3)^(K$8-1)</f>
        <v>318.769614906168</v>
      </c>
      <c r="L11" s="21" t="n">
        <f aca="false">Inputs!$C$13*(1+$B$3)^(L$8-1)</f>
        <v>337.895791800539</v>
      </c>
      <c r="M11" s="21" t="n">
        <f aca="false">Inputs!$C$13*(1+$B$3)^(M$8-1)</f>
        <v>358.169539308571</v>
      </c>
      <c r="N11" s="21" t="n">
        <f aca="false">Inputs!$C$13*(1+$B$3)^(N$8-1)</f>
        <v>379.659711667085</v>
      </c>
      <c r="O11" s="21" t="n">
        <f aca="false">Inputs!$C$13*(1+$B$3)^(O$8-1)</f>
        <v>402.43929436711</v>
      </c>
      <c r="P11" s="21" t="n">
        <f aca="false">Inputs!$C$13*(1+$B$3)^(P$8-1)</f>
        <v>426.585652029137</v>
      </c>
      <c r="Q11" s="21" t="n">
        <f aca="false">Inputs!$C$13*(1+$B$3)^(Q$8-1)</f>
        <v>452.180791150885</v>
      </c>
      <c r="R11" s="21" t="n">
        <f aca="false">Inputs!$C$13*(1+$B$3)^(R$8-1)</f>
        <v>479.311638619938</v>
      </c>
      <c r="S11" s="21" t="n">
        <f aca="false">Inputs!$C$13*(1+$B$3)^(S$8-1)</f>
        <v>508.070336937135</v>
      </c>
      <c r="T11" s="21" t="n">
        <f aca="false">Inputs!$C$13*(1+$B$3)^(T$8-1)</f>
        <v>538.554557153363</v>
      </c>
      <c r="U11" s="21" t="n">
        <f aca="false">Inputs!$C$13*(1+$B$3)^(U$8-1)</f>
        <v>570.867830582565</v>
      </c>
      <c r="V11" s="21" t="n">
        <f aca="false">Inputs!$C$13*(1+$B$3)^(V$8-1)</f>
        <v>605.119900417519</v>
      </c>
      <c r="W11" s="21" t="n">
        <f aca="false">Inputs!$C$13*(1+$B$3)^(W$8-1)</f>
        <v>641.42709444257</v>
      </c>
      <c r="X11" s="21" t="n">
        <f aca="false">Inputs!$C$13*(1+$B$3)^(X$8-1)</f>
        <v>679.912720109124</v>
      </c>
      <c r="Y11" s="21" t="n">
        <f aca="false">Inputs!$C$13*(1+$B$3)^(Y$8-1)</f>
        <v>720.707483315671</v>
      </c>
      <c r="Z11" s="21" t="n">
        <f aca="false">Inputs!$C$13*(1+$B$3)^(Z$8-1)</f>
        <v>763.949932314612</v>
      </c>
      <c r="AA11" s="21" t="n">
        <f aca="false">Inputs!$C$13*(1+$B$3)^(AA$8-1)</f>
        <v>809.786928253488</v>
      </c>
      <c r="AB11" s="21" t="n">
        <f aca="false">Inputs!$C$13*(1+$B$3)^(AB$8-1)</f>
        <v>858.374143948698</v>
      </c>
      <c r="AC11" s="21" t="n">
        <f aca="false">Inputs!$C$13*(1+$B$3)^(AC$8-1)</f>
        <v>909.87659258562</v>
      </c>
      <c r="AD11" s="21" t="n">
        <f aca="false">Inputs!$C$13*(1+$B$3)^(AD$8-1)</f>
        <v>964.469188140757</v>
      </c>
      <c r="AE11" s="21" t="n">
        <f aca="false">Inputs!$C$13*(1+$B$3)^(AE$8-1)</f>
        <v>1022.3373394292</v>
      </c>
      <c r="AF11" s="21" t="n">
        <f aca="false">Inputs!$C$13*(1+$B$3)^(AF$8-1)</f>
        <v>1083.67757979495</v>
      </c>
      <c r="AG11" s="21" t="n">
        <f aca="false">Inputs!$C$13*(1+$B$3)^(AG$8-1)</f>
        <v>1148.69823458265</v>
      </c>
      <c r="AH11" s="21" t="n">
        <f aca="false">Inputs!$C$13*(1+$B$3)^(AH$8-1)</f>
        <v>1217.62012865761</v>
      </c>
      <c r="AI11" s="21" t="n">
        <f aca="false">Inputs!$C$13*(1+$B$3)^(AI$8-1)</f>
        <v>1290.67733637707</v>
      </c>
      <c r="AJ11" s="21" t="n">
        <f aca="false">Inputs!$C$13*(1+$B$3)^(AJ$8-1)</f>
        <v>1368.11797655969</v>
      </c>
      <c r="AK11" s="21" t="n">
        <f aca="false">Inputs!$C$13*(1+$B$3)^(AK$8-1)</f>
        <v>1450.20505515327</v>
      </c>
      <c r="AL11" s="21" t="n">
        <f aca="false">Inputs!$C$13*(1+$B$3)^(AL$8-1)</f>
        <v>1537.21735846247</v>
      </c>
    </row>
    <row r="12" customFormat="false" ht="15" hidden="false" customHeight="false" outlineLevel="0" collapsed="false">
      <c r="A12" s="7" t="s">
        <v>58</v>
      </c>
      <c r="B12" s="7" t="s">
        <v>200</v>
      </c>
      <c r="C12" s="21" t="n">
        <f aca="false">Inputs!$C$14*(1+$B$4)^(C$8-1)</f>
        <v>2000</v>
      </c>
      <c r="D12" s="21" t="n">
        <f aca="false">Inputs!$C$14*(1+$B$4)^(D$8-1)</f>
        <v>2030</v>
      </c>
      <c r="E12" s="21" t="n">
        <f aca="false">Inputs!$C$14*(1+$B$4)^(E$8-1)</f>
        <v>2060.45</v>
      </c>
      <c r="F12" s="21" t="n">
        <f aca="false">Inputs!$C$14*(1+$B$4)^(F$8-1)</f>
        <v>2091.35675</v>
      </c>
      <c r="G12" s="21" t="n">
        <f aca="false">Inputs!$C$14*(1+$B$4)^(G$8-1)</f>
        <v>2122.72710125</v>
      </c>
      <c r="H12" s="21" t="n">
        <f aca="false">Inputs!$C$14*(1+$B$4)^(H$8-1)</f>
        <v>2154.56800776875</v>
      </c>
      <c r="I12" s="21" t="n">
        <f aca="false">Inputs!$C$14*(1+$B$4)^(I$8-1)</f>
        <v>2186.88652788528</v>
      </c>
      <c r="J12" s="21" t="n">
        <f aca="false">Inputs!$C$14*(1+$B$4)^(J$8-1)</f>
        <v>2219.68982580356</v>
      </c>
      <c r="K12" s="21" t="n">
        <f aca="false">Inputs!$C$14*(1+$B$4)^(K$8-1)</f>
        <v>2252.98517319061</v>
      </c>
      <c r="L12" s="21" t="n">
        <f aca="false">Inputs!$C$14*(1+$B$4)^(L$8-1)</f>
        <v>2286.77995078847</v>
      </c>
      <c r="M12" s="21" t="n">
        <f aca="false">Inputs!$C$14*(1+$B$4)^(M$8-1)</f>
        <v>2321.0816500503</v>
      </c>
      <c r="N12" s="21" t="n">
        <f aca="false">Inputs!$C$14*(1+$B$4)^(N$8-1)</f>
        <v>2355.89787480105</v>
      </c>
      <c r="O12" s="21" t="n">
        <f aca="false">Inputs!$C$14*(1+$B$4)^(O$8-1)</f>
        <v>2391.23634292307</v>
      </c>
      <c r="P12" s="21" t="n">
        <f aca="false">Inputs!$C$14*(1+$B$4)^(P$8-1)</f>
        <v>2427.10488806691</v>
      </c>
      <c r="Q12" s="21" t="n">
        <f aca="false">Inputs!$C$14*(1+$B$4)^(Q$8-1)</f>
        <v>2463.51146138792</v>
      </c>
      <c r="R12" s="21" t="n">
        <f aca="false">Inputs!$C$14*(1+$B$4)^(R$8-1)</f>
        <v>2500.46413330874</v>
      </c>
      <c r="S12" s="21" t="n">
        <f aca="false">Inputs!$C$14*(1+$B$4)^(S$8-1)</f>
        <v>2537.97109530837</v>
      </c>
      <c r="T12" s="21" t="n">
        <f aca="false">Inputs!$C$14*(1+$B$4)^(T$8-1)</f>
        <v>2576.04066173799</v>
      </c>
      <c r="U12" s="21" t="n">
        <f aca="false">Inputs!$C$14*(1+$B$4)^(U$8-1)</f>
        <v>2614.68127166406</v>
      </c>
      <c r="V12" s="21" t="n">
        <f aca="false">Inputs!$C$14*(1+$B$4)^(V$8-1)</f>
        <v>2653.90149073902</v>
      </c>
      <c r="W12" s="21" t="n">
        <f aca="false">Inputs!$C$14*(1+$B$4)^(W$8-1)</f>
        <v>2693.71001310011</v>
      </c>
      <c r="X12" s="21" t="n">
        <f aca="false">Inputs!$C$14*(1+$B$4)^(X$8-1)</f>
        <v>2734.11566329661</v>
      </c>
      <c r="Y12" s="21" t="n">
        <f aca="false">Inputs!$C$14*(1+$B$4)^(Y$8-1)</f>
        <v>2775.12739824606</v>
      </c>
      <c r="Z12" s="21" t="n">
        <f aca="false">Inputs!$C$14*(1+$B$4)^(Z$8-1)</f>
        <v>2816.75430921975</v>
      </c>
      <c r="AA12" s="21" t="n">
        <f aca="false">Inputs!$C$14*(1+$B$4)^(AA$8-1)</f>
        <v>2859.00562385804</v>
      </c>
      <c r="AB12" s="21" t="n">
        <f aca="false">Inputs!$C$14*(1+$B$4)^(AB$8-1)</f>
        <v>2901.89070821591</v>
      </c>
      <c r="AC12" s="21" t="n">
        <f aca="false">Inputs!$C$14*(1+$B$4)^(AC$8-1)</f>
        <v>2945.41906883915</v>
      </c>
      <c r="AD12" s="21" t="n">
        <f aca="false">Inputs!$C$14*(1+$B$4)^(AD$8-1)</f>
        <v>2989.60035487174</v>
      </c>
      <c r="AE12" s="21" t="n">
        <f aca="false">Inputs!$C$14*(1+$B$4)^(AE$8-1)</f>
        <v>3034.44436019482</v>
      </c>
      <c r="AF12" s="21" t="n">
        <f aca="false">Inputs!$C$14*(1+$B$4)^(AF$8-1)</f>
        <v>3079.96102559774</v>
      </c>
      <c r="AG12" s="21" t="n">
        <f aca="false">Inputs!$C$14*(1+$B$4)^(AG$8-1)</f>
        <v>3126.1604409817</v>
      </c>
      <c r="AH12" s="21" t="n">
        <f aca="false">Inputs!$C$14*(1+$B$4)^(AH$8-1)</f>
        <v>3173.05284759643</v>
      </c>
      <c r="AI12" s="21" t="n">
        <f aca="false">Inputs!$C$14*(1+$B$4)^(AI$8-1)</f>
        <v>3220.64864031037</v>
      </c>
      <c r="AJ12" s="21" t="n">
        <f aca="false">Inputs!$C$14*(1+$B$4)^(AJ$8-1)</f>
        <v>3268.95836991503</v>
      </c>
      <c r="AK12" s="21" t="n">
        <f aca="false">Inputs!$C$14*(1+$B$4)^(AK$8-1)</f>
        <v>3317.99274546375</v>
      </c>
      <c r="AL12" s="21" t="n">
        <f aca="false">Inputs!$C$14*(1+$B$4)^(AL$8-1)</f>
        <v>3367.76263664571</v>
      </c>
    </row>
    <row r="13" customFormat="false" ht="15" hidden="false" customHeight="false" outlineLevel="0" collapsed="false">
      <c r="A13" s="7" t="s">
        <v>61</v>
      </c>
      <c r="B13" s="7" t="s">
        <v>200</v>
      </c>
      <c r="C13" s="21" t="n">
        <f aca="false">C11*C12</f>
        <v>400000</v>
      </c>
      <c r="D13" s="21" t="n">
        <f aca="false">D11*D12</f>
        <v>430360</v>
      </c>
      <c r="E13" s="21" t="n">
        <f aca="false">E11*E12</f>
        <v>463024.324</v>
      </c>
      <c r="F13" s="21" t="n">
        <f aca="false">F11*F12</f>
        <v>498167.8701916</v>
      </c>
      <c r="G13" s="21" t="n">
        <f aca="false">G11*G12</f>
        <v>535978.811539142</v>
      </c>
      <c r="H13" s="21" t="n">
        <f aca="false">H11*H12</f>
        <v>576659.603334963</v>
      </c>
      <c r="I13" s="21" t="n">
        <f aca="false">I11*I12</f>
        <v>620428.067228087</v>
      </c>
      <c r="J13" s="21" t="n">
        <f aca="false">J11*J12</f>
        <v>667518.557530699</v>
      </c>
      <c r="K13" s="21" t="n">
        <f aca="false">K11*K12</f>
        <v>718183.216047279</v>
      </c>
      <c r="L13" s="21" t="n">
        <f aca="false">L11*L12</f>
        <v>772693.322145267</v>
      </c>
      <c r="M13" s="21" t="n">
        <f aca="false">M11*M12</f>
        <v>831340.745296093</v>
      </c>
      <c r="N13" s="21" t="n">
        <f aca="false">N11*N12</f>
        <v>894439.507864066</v>
      </c>
      <c r="O13" s="21" t="n">
        <f aca="false">O11*O12</f>
        <v>962327.466510949</v>
      </c>
      <c r="P13" s="21" t="n">
        <f aca="false">P11*P12</f>
        <v>1035368.12121913</v>
      </c>
      <c r="Q13" s="21" t="n">
        <f aca="false">Q11*Q12</f>
        <v>1113952.56161966</v>
      </c>
      <c r="R13" s="21" t="n">
        <f aca="false">R11*R12</f>
        <v>1198501.56104659</v>
      </c>
      <c r="S13" s="21" t="n">
        <f aca="false">S11*S12</f>
        <v>1289467.82953003</v>
      </c>
      <c r="T13" s="21" t="n">
        <f aca="false">T11*T12</f>
        <v>1387338.43779136</v>
      </c>
      <c r="U13" s="21" t="n">
        <f aca="false">U11*U12</f>
        <v>1492637.42521972</v>
      </c>
      <c r="V13" s="21" t="n">
        <f aca="false">V11*V12</f>
        <v>1605928.6057939</v>
      </c>
      <c r="W13" s="21" t="n">
        <f aca="false">W11*W12</f>
        <v>1727818.58697366</v>
      </c>
      <c r="X13" s="21" t="n">
        <f aca="false">X11*X12</f>
        <v>1858960.01772496</v>
      </c>
      <c r="Y13" s="21" t="n">
        <f aca="false">Y11*Y12</f>
        <v>2000055.08307028</v>
      </c>
      <c r="Z13" s="21" t="n">
        <f aca="false">Z11*Z12</f>
        <v>2151859.26387532</v>
      </c>
      <c r="AA13" s="21" t="n">
        <f aca="false">AA11*AA12</f>
        <v>2315185.38200345</v>
      </c>
      <c r="AB13" s="21" t="n">
        <f aca="false">AB11*AB12</f>
        <v>2490907.95249752</v>
      </c>
      <c r="AC13" s="21" t="n">
        <f aca="false">AC11*AC12</f>
        <v>2679967.86609208</v>
      </c>
      <c r="AD13" s="21" t="n">
        <f aca="false">AD11*AD12</f>
        <v>2883377.42712847</v>
      </c>
      <c r="AE13" s="21" t="n">
        <f aca="false">AE11*AE12</f>
        <v>3102225.77384751</v>
      </c>
      <c r="AF13" s="21" t="n">
        <f aca="false">AF11*AF12</f>
        <v>3337684.71008254</v>
      </c>
      <c r="AG13" s="21" t="n">
        <f aca="false">AG11*AG12</f>
        <v>3591014.97957781</v>
      </c>
      <c r="AH13" s="21" t="n">
        <f aca="false">AH11*AH12</f>
        <v>3863573.01652776</v>
      </c>
      <c r="AI13" s="21" t="n">
        <f aca="false">AI11*AI12</f>
        <v>4156818.20848222</v>
      </c>
      <c r="AJ13" s="21" t="n">
        <f aca="false">AJ11*AJ12</f>
        <v>4472320.71050602</v>
      </c>
      <c r="AK13" s="21" t="n">
        <f aca="false">AK11*AK12</f>
        <v>4811769.85243343</v>
      </c>
      <c r="AL13" s="21" t="n">
        <f aca="false">AL11*AL12</f>
        <v>5176983.18423312</v>
      </c>
    </row>
    <row r="14" customFormat="false" ht="15" hidden="false" customHeight="false" outlineLevel="0" collapsed="false">
      <c r="A14" s="7" t="s">
        <v>269</v>
      </c>
      <c r="B14" s="7" t="s">
        <v>205</v>
      </c>
      <c r="C14" s="21" t="n">
        <f aca="false">Inputs!$C$15</f>
        <v>4000</v>
      </c>
      <c r="D14" s="21" t="n">
        <f aca="false">Inputs!$C$15</f>
        <v>4000</v>
      </c>
      <c r="E14" s="21" t="n">
        <f aca="false">Inputs!$C$15</f>
        <v>4000</v>
      </c>
      <c r="F14" s="21" t="n">
        <f aca="false">Inputs!$C$15</f>
        <v>4000</v>
      </c>
      <c r="G14" s="21" t="n">
        <f aca="false">Inputs!$C$15</f>
        <v>4000</v>
      </c>
      <c r="H14" s="21" t="n">
        <f aca="false">Inputs!$C$15</f>
        <v>4000</v>
      </c>
      <c r="I14" s="21" t="n">
        <f aca="false">Inputs!$C$15</f>
        <v>4000</v>
      </c>
      <c r="J14" s="21" t="n">
        <f aca="false">Inputs!$C$15</f>
        <v>4000</v>
      </c>
      <c r="K14" s="21" t="n">
        <f aca="false">Inputs!$C$15</f>
        <v>4000</v>
      </c>
      <c r="L14" s="21" t="n">
        <f aca="false">Inputs!$C$15</f>
        <v>4000</v>
      </c>
      <c r="M14" s="21" t="n">
        <f aca="false">Inputs!$C$15</f>
        <v>4000</v>
      </c>
      <c r="N14" s="21" t="n">
        <f aca="false">Inputs!$C$15</f>
        <v>4000</v>
      </c>
      <c r="O14" s="21" t="n">
        <f aca="false">Inputs!$C$15</f>
        <v>4000</v>
      </c>
      <c r="P14" s="21" t="n">
        <f aca="false">Inputs!$C$15</f>
        <v>4000</v>
      </c>
      <c r="Q14" s="21" t="n">
        <f aca="false">Inputs!$C$15</f>
        <v>4000</v>
      </c>
      <c r="R14" s="21" t="n">
        <f aca="false">Inputs!$C$15</f>
        <v>4000</v>
      </c>
      <c r="S14" s="21" t="n">
        <f aca="false">Inputs!$C$15</f>
        <v>4000</v>
      </c>
      <c r="T14" s="21" t="n">
        <f aca="false">Inputs!$C$15</f>
        <v>4000</v>
      </c>
      <c r="U14" s="21" t="n">
        <f aca="false">Inputs!$C$15</f>
        <v>4000</v>
      </c>
      <c r="V14" s="21" t="n">
        <f aca="false">Inputs!$C$15</f>
        <v>4000</v>
      </c>
      <c r="W14" s="21" t="n">
        <f aca="false">Inputs!$C$15</f>
        <v>4000</v>
      </c>
      <c r="X14" s="21" t="n">
        <f aca="false">Inputs!$C$15</f>
        <v>4000</v>
      </c>
      <c r="Y14" s="21" t="n">
        <f aca="false">Inputs!$C$15</f>
        <v>4000</v>
      </c>
      <c r="Z14" s="21" t="n">
        <f aca="false">Inputs!$C$15</f>
        <v>4000</v>
      </c>
      <c r="AA14" s="21" t="n">
        <f aca="false">Inputs!$C$15</f>
        <v>4000</v>
      </c>
      <c r="AB14" s="21" t="n">
        <f aca="false">Inputs!$C$15</f>
        <v>4000</v>
      </c>
      <c r="AC14" s="21" t="n">
        <f aca="false">Inputs!$C$15</f>
        <v>4000</v>
      </c>
      <c r="AD14" s="21" t="n">
        <f aca="false">Inputs!$C$15</f>
        <v>4000</v>
      </c>
      <c r="AE14" s="21" t="n">
        <f aca="false">Inputs!$C$15</f>
        <v>4000</v>
      </c>
      <c r="AF14" s="21" t="n">
        <f aca="false">Inputs!$C$15</f>
        <v>4000</v>
      </c>
      <c r="AG14" s="21" t="n">
        <f aca="false">Inputs!$C$15</f>
        <v>4000</v>
      </c>
      <c r="AH14" s="21" t="n">
        <f aca="false">Inputs!$C$15</f>
        <v>4000</v>
      </c>
      <c r="AI14" s="21" t="n">
        <f aca="false">Inputs!$C$15</f>
        <v>4000</v>
      </c>
      <c r="AJ14" s="21" t="n">
        <f aca="false">Inputs!$C$15</f>
        <v>4000</v>
      </c>
      <c r="AK14" s="21" t="n">
        <f aca="false">Inputs!$C$15</f>
        <v>4000</v>
      </c>
      <c r="AL14" s="21" t="n">
        <f aca="false">Inputs!$C$15</f>
        <v>4000</v>
      </c>
    </row>
    <row r="15" customFormat="false" ht="15" hidden="false" customHeight="false" outlineLevel="0" collapsed="false">
      <c r="A15" s="7" t="s">
        <v>64</v>
      </c>
      <c r="B15" s="7" t="s">
        <v>270</v>
      </c>
      <c r="C15" s="21" t="n">
        <f aca="false">C13*C14/1000</f>
        <v>1600000</v>
      </c>
      <c r="D15" s="21" t="n">
        <f aca="false">D13*D14/1000</f>
        <v>1721440</v>
      </c>
      <c r="E15" s="21" t="n">
        <f aca="false">E13*E14/1000</f>
        <v>1852097.296</v>
      </c>
      <c r="F15" s="21" t="n">
        <f aca="false">F13*F14/1000</f>
        <v>1992671.4807664</v>
      </c>
      <c r="G15" s="21" t="n">
        <f aca="false">G13*G14/1000</f>
        <v>2143915.24615657</v>
      </c>
      <c r="H15" s="21" t="n">
        <f aca="false">H13*H14/1000</f>
        <v>2306638.41333985</v>
      </c>
      <c r="I15" s="21" t="n">
        <f aca="false">I13*I14/1000</f>
        <v>2481712.26891235</v>
      </c>
      <c r="J15" s="21" t="n">
        <f aca="false">J13*J14/1000</f>
        <v>2670074.23012279</v>
      </c>
      <c r="K15" s="21" t="n">
        <f aca="false">K13*K14/1000</f>
        <v>2872732.86418912</v>
      </c>
      <c r="L15" s="21" t="n">
        <f aca="false">L13*L14/1000</f>
        <v>3090773.28858107</v>
      </c>
      <c r="M15" s="21" t="n">
        <f aca="false">M13*M14/1000</f>
        <v>3325362.98118437</v>
      </c>
      <c r="N15" s="21" t="n">
        <f aca="false">N13*N14/1000</f>
        <v>3577758.03145626</v>
      </c>
      <c r="O15" s="21" t="n">
        <f aca="false">O13*O14/1000</f>
        <v>3849309.8660438</v>
      </c>
      <c r="P15" s="21" t="n">
        <f aca="false">P13*P14/1000</f>
        <v>4141472.48487652</v>
      </c>
      <c r="Q15" s="21" t="n">
        <f aca="false">Q13*Q14/1000</f>
        <v>4455810.24647865</v>
      </c>
      <c r="R15" s="21" t="n">
        <f aca="false">R13*R14/1000</f>
        <v>4794006.24418638</v>
      </c>
      <c r="S15" s="21" t="n">
        <f aca="false">S13*S14/1000</f>
        <v>5157871.31812012</v>
      </c>
      <c r="T15" s="21" t="n">
        <f aca="false">T13*T14/1000</f>
        <v>5549353.75116544</v>
      </c>
      <c r="U15" s="21" t="n">
        <f aca="false">U13*U14/1000</f>
        <v>5970549.7008789</v>
      </c>
      <c r="V15" s="21" t="n">
        <f aca="false">V13*V14/1000</f>
        <v>6423714.4231756</v>
      </c>
      <c r="W15" s="21" t="n">
        <f aca="false">W13*W14/1000</f>
        <v>6911274.34789463</v>
      </c>
      <c r="X15" s="21" t="n">
        <f aca="false">X13*X14/1000</f>
        <v>7435840.07089983</v>
      </c>
      <c r="Y15" s="21" t="n">
        <f aca="false">Y13*Y14/1000</f>
        <v>8000220.33228113</v>
      </c>
      <c r="Z15" s="21" t="n">
        <f aca="false">Z13*Z14/1000</f>
        <v>8607437.05550127</v>
      </c>
      <c r="AA15" s="21" t="n">
        <f aca="false">AA13*AA14/1000</f>
        <v>9260741.52801381</v>
      </c>
      <c r="AB15" s="21" t="n">
        <f aca="false">AB13*AB14/1000</f>
        <v>9963631.80999006</v>
      </c>
      <c r="AC15" s="21" t="n">
        <f aca="false">AC13*AC14/1000</f>
        <v>10719871.4643683</v>
      </c>
      <c r="AD15" s="21" t="n">
        <f aca="false">AD13*AD14/1000</f>
        <v>11533509.7085139</v>
      </c>
      <c r="AE15" s="21" t="n">
        <f aca="false">AE13*AE14/1000</f>
        <v>12408903.0953901</v>
      </c>
      <c r="AF15" s="21" t="n">
        <f aca="false">AF13*AF14/1000</f>
        <v>13350738.8403302</v>
      </c>
      <c r="AG15" s="21" t="n">
        <f aca="false">AG13*AG14/1000</f>
        <v>14364059.9183112</v>
      </c>
      <c r="AH15" s="21" t="n">
        <f aca="false">AH13*AH14/1000</f>
        <v>15454292.066111</v>
      </c>
      <c r="AI15" s="21" t="n">
        <f aca="false">AI13*AI14/1000</f>
        <v>16627272.8339289</v>
      </c>
      <c r="AJ15" s="21" t="n">
        <f aca="false">AJ13*AJ14/1000</f>
        <v>17889282.8420241</v>
      </c>
      <c r="AK15" s="21" t="n">
        <f aca="false">AK13*AK14/1000</f>
        <v>19247079.4097337</v>
      </c>
      <c r="AL15" s="21" t="n">
        <f aca="false">AL13*AL14/1000</f>
        <v>20707932.7369325</v>
      </c>
    </row>
    <row r="16" customFormat="false" ht="15" hidden="false" customHeight="false" outlineLevel="0" collapsed="false">
      <c r="A16" s="9" t="s">
        <v>271</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row>
    <row r="17" customFormat="false" ht="15" hidden="false" customHeight="false" outlineLevel="0" collapsed="false">
      <c r="A17" s="7" t="s">
        <v>272</v>
      </c>
      <c r="B17" s="7" t="s">
        <v>270</v>
      </c>
      <c r="C17" s="21" t="n">
        <f aca="false">C15*(1-Inputs!$C$18)</f>
        <v>960000</v>
      </c>
      <c r="D17" s="21" t="n">
        <f aca="false">D15*(1-Inputs!$C$18)</f>
        <v>1032864</v>
      </c>
      <c r="E17" s="21" t="n">
        <f aca="false">E15*(1-Inputs!$C$18)</f>
        <v>1111258.3776</v>
      </c>
      <c r="F17" s="21" t="n">
        <f aca="false">F15*(1-Inputs!$C$18)</f>
        <v>1195602.88845984</v>
      </c>
      <c r="G17" s="21" t="n">
        <f aca="false">G15*(1-Inputs!$C$18)</f>
        <v>1286349.14769394</v>
      </c>
      <c r="H17" s="21" t="n">
        <f aca="false">H15*(1-Inputs!$C$18)</f>
        <v>1383983.04800391</v>
      </c>
      <c r="I17" s="21" t="n">
        <f aca="false">I15*(1-Inputs!$C$18)</f>
        <v>1489027.36134741</v>
      </c>
      <c r="J17" s="21" t="n">
        <f aca="false">J15*(1-Inputs!$C$18)</f>
        <v>1602044.53807368</v>
      </c>
      <c r="K17" s="21" t="n">
        <f aca="false">K15*(1-Inputs!$C$18)</f>
        <v>1723639.71851347</v>
      </c>
      <c r="L17" s="21" t="n">
        <f aca="false">L15*(1-Inputs!$C$18)</f>
        <v>1854463.97314864</v>
      </c>
      <c r="M17" s="21" t="n">
        <f aca="false">M15*(1-Inputs!$C$18)</f>
        <v>1995217.78871062</v>
      </c>
      <c r="N17" s="21" t="n">
        <f aca="false">N15*(1-Inputs!$C$18)</f>
        <v>2146654.81887376</v>
      </c>
      <c r="O17" s="21" t="n">
        <f aca="false">O15*(1-Inputs!$C$18)</f>
        <v>2309585.91962628</v>
      </c>
      <c r="P17" s="21" t="n">
        <f aca="false">P15*(1-Inputs!$C$18)</f>
        <v>2484883.49092591</v>
      </c>
      <c r="Q17" s="21" t="n">
        <f aca="false">Q15*(1-Inputs!$C$18)</f>
        <v>2673486.14788719</v>
      </c>
      <c r="R17" s="21" t="n">
        <f aca="false">R15*(1-Inputs!$C$18)</f>
        <v>2876403.74651183</v>
      </c>
      <c r="S17" s="21" t="n">
        <f aca="false">S15*(1-Inputs!$C$18)</f>
        <v>3094722.79087207</v>
      </c>
      <c r="T17" s="21" t="n">
        <f aca="false">T15*(1-Inputs!$C$18)</f>
        <v>3329612.25069926</v>
      </c>
      <c r="U17" s="21" t="n">
        <f aca="false">U15*(1-Inputs!$C$18)</f>
        <v>3582329.82052734</v>
      </c>
      <c r="V17" s="21" t="n">
        <f aca="false">V15*(1-Inputs!$C$18)</f>
        <v>3854228.65390536</v>
      </c>
      <c r="W17" s="21" t="n">
        <f aca="false">W15*(1-Inputs!$C$18)</f>
        <v>4146764.60873678</v>
      </c>
      <c r="X17" s="21" t="n">
        <f aca="false">X15*(1-Inputs!$C$18)</f>
        <v>4461504.0425399</v>
      </c>
      <c r="Y17" s="21" t="n">
        <f aca="false">Y15*(1-Inputs!$C$18)</f>
        <v>4800132.19936868</v>
      </c>
      <c r="Z17" s="21" t="n">
        <f aca="false">Z15*(1-Inputs!$C$18)</f>
        <v>5164462.23330076</v>
      </c>
      <c r="AA17" s="21" t="n">
        <f aca="false">AA15*(1-Inputs!$C$18)</f>
        <v>5556444.91680829</v>
      </c>
      <c r="AB17" s="21" t="n">
        <f aca="false">AB15*(1-Inputs!$C$18)</f>
        <v>5978179.08599404</v>
      </c>
      <c r="AC17" s="21" t="n">
        <f aca="false">AC15*(1-Inputs!$C$18)</f>
        <v>6431922.87862098</v>
      </c>
      <c r="AD17" s="21" t="n">
        <f aca="false">AD15*(1-Inputs!$C$18)</f>
        <v>6920105.82510832</v>
      </c>
      <c r="AE17" s="21" t="n">
        <f aca="false">AE15*(1-Inputs!$C$18)</f>
        <v>7445341.85723404</v>
      </c>
      <c r="AF17" s="21" t="n">
        <f aca="false">AF15*(1-Inputs!$C$18)</f>
        <v>8010443.3041981</v>
      </c>
      <c r="AG17" s="21" t="n">
        <f aca="false">AG15*(1-Inputs!$C$18)</f>
        <v>8618435.95098673</v>
      </c>
      <c r="AH17" s="21" t="n">
        <f aca="false">AH15*(1-Inputs!$C$18)</f>
        <v>9272575.23966663</v>
      </c>
      <c r="AI17" s="21" t="n">
        <f aca="false">AI15*(1-Inputs!$C$18)</f>
        <v>9976363.70035732</v>
      </c>
      <c r="AJ17" s="21" t="n">
        <f aca="false">AJ15*(1-Inputs!$C$18)</f>
        <v>10733569.7052144</v>
      </c>
      <c r="AK17" s="21" t="n">
        <f aca="false">AK15*(1-Inputs!$C$18)</f>
        <v>11548247.6458402</v>
      </c>
      <c r="AL17" s="21" t="n">
        <f aca="false">AL15*(1-Inputs!$C$18)</f>
        <v>12424759.6421595</v>
      </c>
    </row>
    <row r="18" customFormat="false" ht="15" hidden="false" customHeight="false" outlineLevel="0" collapsed="false">
      <c r="A18" s="7" t="s">
        <v>273</v>
      </c>
      <c r="B18" s="7" t="s">
        <v>270</v>
      </c>
      <c r="C18" s="21" t="n">
        <f aca="false">C15*Inputs!$C$18</f>
        <v>640000</v>
      </c>
      <c r="D18" s="21" t="n">
        <f aca="false">D15*Inputs!$C$18</f>
        <v>688576</v>
      </c>
      <c r="E18" s="21" t="n">
        <f aca="false">E15*Inputs!$C$18</f>
        <v>740838.9184</v>
      </c>
      <c r="F18" s="21" t="n">
        <f aca="false">F15*Inputs!$C$18</f>
        <v>797068.59230656</v>
      </c>
      <c r="G18" s="21" t="n">
        <f aca="false">G15*Inputs!$C$18</f>
        <v>857566.098462628</v>
      </c>
      <c r="H18" s="21" t="n">
        <f aca="false">H15*Inputs!$C$18</f>
        <v>922655.365335941</v>
      </c>
      <c r="I18" s="21" t="n">
        <f aca="false">I15*Inputs!$C$18</f>
        <v>992684.907564939</v>
      </c>
      <c r="J18" s="21" t="n">
        <f aca="false">J15*Inputs!$C$18</f>
        <v>1068029.69204912</v>
      </c>
      <c r="K18" s="21" t="n">
        <f aca="false">K15*Inputs!$C$18</f>
        <v>1149093.14567565</v>
      </c>
      <c r="L18" s="21" t="n">
        <f aca="false">L15*Inputs!$C$18</f>
        <v>1236309.31543243</v>
      </c>
      <c r="M18" s="21" t="n">
        <f aca="false">M15*Inputs!$C$18</f>
        <v>1330145.19247375</v>
      </c>
      <c r="N18" s="21" t="n">
        <f aca="false">N15*Inputs!$C$18</f>
        <v>1431103.21258251</v>
      </c>
      <c r="O18" s="21" t="n">
        <f aca="false">O15*Inputs!$C$18</f>
        <v>1539723.94641752</v>
      </c>
      <c r="P18" s="21" t="n">
        <f aca="false">P15*Inputs!$C$18</f>
        <v>1656588.99395061</v>
      </c>
      <c r="Q18" s="21" t="n">
        <f aca="false">Q15*Inputs!$C$18</f>
        <v>1782324.09859146</v>
      </c>
      <c r="R18" s="21" t="n">
        <f aca="false">R15*Inputs!$C$18</f>
        <v>1917602.49767455</v>
      </c>
      <c r="S18" s="21" t="n">
        <f aca="false">S15*Inputs!$C$18</f>
        <v>2063148.52724805</v>
      </c>
      <c r="T18" s="21" t="n">
        <f aca="false">T15*Inputs!$C$18</f>
        <v>2219741.50046618</v>
      </c>
      <c r="U18" s="21" t="n">
        <f aca="false">U15*Inputs!$C$18</f>
        <v>2388219.88035156</v>
      </c>
      <c r="V18" s="21" t="n">
        <f aca="false">V15*Inputs!$C$18</f>
        <v>2569485.76927024</v>
      </c>
      <c r="W18" s="21" t="n">
        <f aca="false">W15*Inputs!$C$18</f>
        <v>2764509.73915785</v>
      </c>
      <c r="X18" s="21" t="n">
        <f aca="false">X15*Inputs!$C$18</f>
        <v>2974336.02835993</v>
      </c>
      <c r="Y18" s="21" t="n">
        <f aca="false">Y15*Inputs!$C$18</f>
        <v>3200088.13291245</v>
      </c>
      <c r="Z18" s="21" t="n">
        <f aca="false">Z15*Inputs!$C$18</f>
        <v>3442974.82220051</v>
      </c>
      <c r="AA18" s="21" t="n">
        <f aca="false">AA15*Inputs!$C$18</f>
        <v>3704296.61120553</v>
      </c>
      <c r="AB18" s="21" t="n">
        <f aca="false">AB15*Inputs!$C$18</f>
        <v>3985452.72399602</v>
      </c>
      <c r="AC18" s="21" t="n">
        <f aca="false">AC15*Inputs!$C$18</f>
        <v>4287948.58574732</v>
      </c>
      <c r="AD18" s="21" t="n">
        <f aca="false">AD15*Inputs!$C$18</f>
        <v>4613403.88340554</v>
      </c>
      <c r="AE18" s="21" t="n">
        <f aca="false">AE15*Inputs!$C$18</f>
        <v>4963561.23815602</v>
      </c>
      <c r="AF18" s="21" t="n">
        <f aca="false">AF15*Inputs!$C$18</f>
        <v>5340295.53613207</v>
      </c>
      <c r="AG18" s="21" t="n">
        <f aca="false">AG15*Inputs!$C$18</f>
        <v>5745623.96732449</v>
      </c>
      <c r="AH18" s="21" t="n">
        <f aca="false">AH15*Inputs!$C$18</f>
        <v>6181716.82644442</v>
      </c>
      <c r="AI18" s="21" t="n">
        <f aca="false">AI15*Inputs!$C$18</f>
        <v>6650909.13357155</v>
      </c>
      <c r="AJ18" s="21" t="n">
        <f aca="false">AJ15*Inputs!$C$18</f>
        <v>7155713.13680963</v>
      </c>
      <c r="AK18" s="21" t="n">
        <f aca="false">AK15*Inputs!$C$18</f>
        <v>7698831.76389348</v>
      </c>
      <c r="AL18" s="21" t="n">
        <f aca="false">AL15*Inputs!$C$18</f>
        <v>8283173.094773</v>
      </c>
    </row>
    <row r="19" customFormat="false" ht="15" hidden="false" customHeight="false" outlineLevel="0" collapsed="false">
      <c r="A19" s="7" t="s">
        <v>67</v>
      </c>
      <c r="B19" s="7" t="s">
        <v>209</v>
      </c>
      <c r="C19" s="22" t="n">
        <f aca="false">C17*Inputs!$C$17</f>
        <v>19200</v>
      </c>
      <c r="D19" s="22" t="n">
        <f aca="false">D17*Inputs!$C$17</f>
        <v>20657.28</v>
      </c>
      <c r="E19" s="22" t="n">
        <f aca="false">E17*Inputs!$C$17</f>
        <v>22225.167552</v>
      </c>
      <c r="F19" s="22" t="n">
        <f aca="false">F17*Inputs!$C$17</f>
        <v>23912.0577691968</v>
      </c>
      <c r="G19" s="22" t="n">
        <f aca="false">G17*Inputs!$C$17</f>
        <v>25726.9829538788</v>
      </c>
      <c r="H19" s="22" t="n">
        <f aca="false">H17*Inputs!$C$17</f>
        <v>27679.6609600782</v>
      </c>
      <c r="I19" s="22" t="n">
        <f aca="false">I17*Inputs!$C$17</f>
        <v>29780.5472269482</v>
      </c>
      <c r="J19" s="22" t="n">
        <f aca="false">J17*Inputs!$C$17</f>
        <v>32040.8907614735</v>
      </c>
      <c r="K19" s="22" t="n">
        <f aca="false">K17*Inputs!$C$17</f>
        <v>34472.7943702694</v>
      </c>
      <c r="L19" s="22" t="n">
        <f aca="false">L17*Inputs!$C$17</f>
        <v>37089.2794629728</v>
      </c>
      <c r="M19" s="22" t="n">
        <f aca="false">M17*Inputs!$C$17</f>
        <v>39904.3557742125</v>
      </c>
      <c r="N19" s="22" t="n">
        <f aca="false">N17*Inputs!$C$17</f>
        <v>42933.0963774752</v>
      </c>
      <c r="O19" s="22" t="n">
        <f aca="false">O17*Inputs!$C$17</f>
        <v>46191.7183925255</v>
      </c>
      <c r="P19" s="22" t="n">
        <f aca="false">P17*Inputs!$C$17</f>
        <v>49697.6698185182</v>
      </c>
      <c r="Q19" s="22" t="n">
        <f aca="false">Q17*Inputs!$C$17</f>
        <v>53469.7229577438</v>
      </c>
      <c r="R19" s="22" t="n">
        <f aca="false">R17*Inputs!$C$17</f>
        <v>57528.0749302365</v>
      </c>
      <c r="S19" s="22" t="n">
        <f aca="false">S17*Inputs!$C$17</f>
        <v>61894.4558174415</v>
      </c>
      <c r="T19" s="22" t="n">
        <f aca="false">T17*Inputs!$C$17</f>
        <v>66592.2450139852</v>
      </c>
      <c r="U19" s="22" t="n">
        <f aca="false">U17*Inputs!$C$17</f>
        <v>71646.5964105467</v>
      </c>
      <c r="V19" s="22" t="n">
        <f aca="false">V17*Inputs!$C$17</f>
        <v>77084.5730781072</v>
      </c>
      <c r="W19" s="22" t="n">
        <f aca="false">W17*Inputs!$C$17</f>
        <v>82935.2921747356</v>
      </c>
      <c r="X19" s="22" t="n">
        <f aca="false">X17*Inputs!$C$17</f>
        <v>89230.080850798</v>
      </c>
      <c r="Y19" s="22" t="n">
        <f aca="false">Y17*Inputs!$C$17</f>
        <v>96002.6439873736</v>
      </c>
      <c r="Z19" s="22" t="n">
        <f aca="false">Z17*Inputs!$C$17</f>
        <v>103289.244666015</v>
      </c>
      <c r="AA19" s="22" t="n">
        <f aca="false">AA17*Inputs!$C$17</f>
        <v>111128.898336166</v>
      </c>
      <c r="AB19" s="22" t="n">
        <f aca="false">AB17*Inputs!$C$17</f>
        <v>119563.581719881</v>
      </c>
      <c r="AC19" s="22" t="n">
        <f aca="false">AC17*Inputs!$C$17</f>
        <v>128638.45757242</v>
      </c>
      <c r="AD19" s="22" t="n">
        <f aca="false">AD17*Inputs!$C$17</f>
        <v>138402.116502166</v>
      </c>
      <c r="AE19" s="22" t="n">
        <f aca="false">AE17*Inputs!$C$17</f>
        <v>148906.837144681</v>
      </c>
      <c r="AF19" s="22" t="n">
        <f aca="false">AF17*Inputs!$C$17</f>
        <v>160208.866083962</v>
      </c>
      <c r="AG19" s="22" t="n">
        <f aca="false">AG17*Inputs!$C$17</f>
        <v>172368.719019735</v>
      </c>
      <c r="AH19" s="22" t="n">
        <f aca="false">AH17*Inputs!$C$17</f>
        <v>185451.504793333</v>
      </c>
      <c r="AI19" s="22" t="n">
        <f aca="false">AI17*Inputs!$C$17</f>
        <v>199527.274007146</v>
      </c>
      <c r="AJ19" s="22" t="n">
        <f aca="false">AJ17*Inputs!$C$17</f>
        <v>214671.394104289</v>
      </c>
      <c r="AK19" s="22" t="n">
        <f aca="false">AK17*Inputs!$C$17</f>
        <v>230964.952916804</v>
      </c>
      <c r="AL19" s="22" t="n">
        <f aca="false">AL17*Inputs!$C$17</f>
        <v>248495.19284319</v>
      </c>
    </row>
    <row r="20" customFormat="false" ht="15" hidden="false" customHeight="false" outlineLevel="0" collapsed="false">
      <c r="A20" s="7" t="s">
        <v>274</v>
      </c>
      <c r="B20" s="7" t="s">
        <v>209</v>
      </c>
      <c r="C20" s="22" t="n">
        <f aca="false">C18*Inputs!$C$17*(1-Inputs!$C$19)</f>
        <v>10240</v>
      </c>
      <c r="D20" s="22" t="n">
        <f aca="false">D18*Inputs!$C$17*(1-Inputs!$C$19)</f>
        <v>11017.216</v>
      </c>
      <c r="E20" s="22" t="n">
        <f aca="false">E18*Inputs!$C$17*(1-Inputs!$C$19)</f>
        <v>11853.4226944</v>
      </c>
      <c r="F20" s="22" t="n">
        <f aca="false">F18*Inputs!$C$17*(1-Inputs!$C$19)</f>
        <v>12753.097476905</v>
      </c>
      <c r="G20" s="22" t="n">
        <f aca="false">G18*Inputs!$C$17*(1-Inputs!$C$19)</f>
        <v>13721.057575402</v>
      </c>
      <c r="H20" s="22" t="n">
        <f aca="false">H18*Inputs!$C$17*(1-Inputs!$C$19)</f>
        <v>14762.4858453751</v>
      </c>
      <c r="I20" s="22" t="n">
        <f aca="false">I18*Inputs!$C$17*(1-Inputs!$C$19)</f>
        <v>15882.958521039</v>
      </c>
      <c r="J20" s="22" t="n">
        <f aca="false">J18*Inputs!$C$17*(1-Inputs!$C$19)</f>
        <v>17088.4750727859</v>
      </c>
      <c r="K20" s="22" t="n">
        <f aca="false">K18*Inputs!$C$17*(1-Inputs!$C$19)</f>
        <v>18385.4903308103</v>
      </c>
      <c r="L20" s="22" t="n">
        <f aca="false">L18*Inputs!$C$17*(1-Inputs!$C$19)</f>
        <v>19780.9490469188</v>
      </c>
      <c r="M20" s="22" t="n">
        <f aca="false">M18*Inputs!$C$17*(1-Inputs!$C$19)</f>
        <v>21282.32307958</v>
      </c>
      <c r="N20" s="22" t="n">
        <f aca="false">N18*Inputs!$C$17*(1-Inputs!$C$19)</f>
        <v>22897.6514013201</v>
      </c>
      <c r="O20" s="22" t="n">
        <f aca="false">O18*Inputs!$C$17*(1-Inputs!$C$19)</f>
        <v>24635.5831426803</v>
      </c>
      <c r="P20" s="22" t="n">
        <f aca="false">P18*Inputs!$C$17*(1-Inputs!$C$19)</f>
        <v>26505.4239032097</v>
      </c>
      <c r="Q20" s="22" t="n">
        <f aca="false">Q18*Inputs!$C$17*(1-Inputs!$C$19)</f>
        <v>28517.1855774633</v>
      </c>
      <c r="R20" s="22" t="n">
        <f aca="false">R18*Inputs!$C$17*(1-Inputs!$C$19)</f>
        <v>30681.6399627928</v>
      </c>
      <c r="S20" s="22" t="n">
        <f aca="false">S18*Inputs!$C$17*(1-Inputs!$C$19)</f>
        <v>33010.3764359688</v>
      </c>
      <c r="T20" s="22" t="n">
        <f aca="false">T18*Inputs!$C$17*(1-Inputs!$C$19)</f>
        <v>35515.8640074588</v>
      </c>
      <c r="U20" s="22" t="n">
        <f aca="false">U18*Inputs!$C$17*(1-Inputs!$C$19)</f>
        <v>38211.5180856249</v>
      </c>
      <c r="V20" s="22" t="n">
        <f aca="false">V18*Inputs!$C$17*(1-Inputs!$C$19)</f>
        <v>41111.7723083239</v>
      </c>
      <c r="W20" s="22" t="n">
        <f aca="false">W18*Inputs!$C$17*(1-Inputs!$C$19)</f>
        <v>44232.1558265256</v>
      </c>
      <c r="X20" s="22" t="n">
        <f aca="false">X18*Inputs!$C$17*(1-Inputs!$C$19)</f>
        <v>47589.3764537589</v>
      </c>
      <c r="Y20" s="22" t="n">
        <f aca="false">Y18*Inputs!$C$17*(1-Inputs!$C$19)</f>
        <v>51201.4101265992</v>
      </c>
      <c r="Z20" s="22" t="n">
        <f aca="false">Z18*Inputs!$C$17*(1-Inputs!$C$19)</f>
        <v>55087.5971552081</v>
      </c>
      <c r="AA20" s="22" t="n">
        <f aca="false">AA18*Inputs!$C$17*(1-Inputs!$C$19)</f>
        <v>59268.7457792884</v>
      </c>
      <c r="AB20" s="22" t="n">
        <f aca="false">AB18*Inputs!$C$17*(1-Inputs!$C$19)</f>
        <v>63767.2435839364</v>
      </c>
      <c r="AC20" s="22" t="n">
        <f aca="false">AC18*Inputs!$C$17*(1-Inputs!$C$19)</f>
        <v>68607.1773719572</v>
      </c>
      <c r="AD20" s="22" t="n">
        <f aca="false">AD18*Inputs!$C$17*(1-Inputs!$C$19)</f>
        <v>73814.4621344887</v>
      </c>
      <c r="AE20" s="22" t="n">
        <f aca="false">AE18*Inputs!$C$17*(1-Inputs!$C$19)</f>
        <v>79416.9798104964</v>
      </c>
      <c r="AF20" s="22" t="n">
        <f aca="false">AF18*Inputs!$C$17*(1-Inputs!$C$19)</f>
        <v>85444.7285781131</v>
      </c>
      <c r="AG20" s="22" t="n">
        <f aca="false">AG18*Inputs!$C$17*(1-Inputs!$C$19)</f>
        <v>91929.9834771918</v>
      </c>
      <c r="AH20" s="22" t="n">
        <f aca="false">AH18*Inputs!$C$17*(1-Inputs!$C$19)</f>
        <v>98907.4692231107</v>
      </c>
      <c r="AI20" s="22" t="n">
        <f aca="false">AI18*Inputs!$C$17*(1-Inputs!$C$19)</f>
        <v>106414.546137145</v>
      </c>
      <c r="AJ20" s="22" t="n">
        <f aca="false">AJ18*Inputs!$C$17*(1-Inputs!$C$19)</f>
        <v>114491.410188954</v>
      </c>
      <c r="AK20" s="22" t="n">
        <f aca="false">AK18*Inputs!$C$17*(1-Inputs!$C$19)</f>
        <v>123181.308222296</v>
      </c>
      <c r="AL20" s="22" t="n">
        <f aca="false">AL18*Inputs!$C$17*(1-Inputs!$C$19)</f>
        <v>132530.769516368</v>
      </c>
    </row>
    <row r="21" customFormat="false" ht="15" hidden="false" customHeight="false" outlineLevel="0" collapsed="false">
      <c r="A21" s="7" t="s">
        <v>73</v>
      </c>
      <c r="B21" s="7" t="s">
        <v>209</v>
      </c>
      <c r="C21" s="22" t="n">
        <f aca="false">C11*Inputs!$C$20</f>
        <v>0</v>
      </c>
      <c r="D21" s="22" t="n">
        <f aca="false">D11*Inputs!$C$20</f>
        <v>0</v>
      </c>
      <c r="E21" s="22" t="n">
        <f aca="false">E11*Inputs!$C$20</f>
        <v>0</v>
      </c>
      <c r="F21" s="22" t="n">
        <f aca="false">F11*Inputs!$C$20</f>
        <v>0</v>
      </c>
      <c r="G21" s="22" t="n">
        <f aca="false">G11*Inputs!$C$20</f>
        <v>0</v>
      </c>
      <c r="H21" s="22" t="n">
        <f aca="false">H11*Inputs!$C$20</f>
        <v>0</v>
      </c>
      <c r="I21" s="22" t="n">
        <f aca="false">I11*Inputs!$C$20</f>
        <v>0</v>
      </c>
      <c r="J21" s="22" t="n">
        <f aca="false">J11*Inputs!$C$20</f>
        <v>0</v>
      </c>
      <c r="K21" s="22" t="n">
        <f aca="false">K11*Inputs!$C$20</f>
        <v>0</v>
      </c>
      <c r="L21" s="22" t="n">
        <f aca="false">L11*Inputs!$C$20</f>
        <v>0</v>
      </c>
      <c r="M21" s="22" t="n">
        <f aca="false">M11*Inputs!$C$20</f>
        <v>0</v>
      </c>
      <c r="N21" s="22" t="n">
        <f aca="false">N11*Inputs!$C$20</f>
        <v>0</v>
      </c>
      <c r="O21" s="22" t="n">
        <f aca="false">O11*Inputs!$C$20</f>
        <v>0</v>
      </c>
      <c r="P21" s="22" t="n">
        <f aca="false">P11*Inputs!$C$20</f>
        <v>0</v>
      </c>
      <c r="Q21" s="22" t="n">
        <f aca="false">Q11*Inputs!$C$20</f>
        <v>0</v>
      </c>
      <c r="R21" s="22" t="n">
        <f aca="false">R11*Inputs!$C$20</f>
        <v>0</v>
      </c>
      <c r="S21" s="22" t="n">
        <f aca="false">S11*Inputs!$C$20</f>
        <v>0</v>
      </c>
      <c r="T21" s="22" t="n">
        <f aca="false">T11*Inputs!$C$20</f>
        <v>0</v>
      </c>
      <c r="U21" s="22" t="n">
        <f aca="false">U11*Inputs!$C$20</f>
        <v>0</v>
      </c>
      <c r="V21" s="22" t="n">
        <f aca="false">V11*Inputs!$C$20</f>
        <v>0</v>
      </c>
      <c r="W21" s="22" t="n">
        <f aca="false">W11*Inputs!$C$20</f>
        <v>0</v>
      </c>
      <c r="X21" s="22" t="n">
        <f aca="false">X11*Inputs!$C$20</f>
        <v>0</v>
      </c>
      <c r="Y21" s="22" t="n">
        <f aca="false">Y11*Inputs!$C$20</f>
        <v>0</v>
      </c>
      <c r="Z21" s="22" t="n">
        <f aca="false">Z11*Inputs!$C$20</f>
        <v>0</v>
      </c>
      <c r="AA21" s="22" t="n">
        <f aca="false">AA11*Inputs!$C$20</f>
        <v>0</v>
      </c>
      <c r="AB21" s="22" t="n">
        <f aca="false">AB11*Inputs!$C$20</f>
        <v>0</v>
      </c>
      <c r="AC21" s="22" t="n">
        <f aca="false">AC11*Inputs!$C$20</f>
        <v>0</v>
      </c>
      <c r="AD21" s="22" t="n">
        <f aca="false">AD11*Inputs!$C$20</f>
        <v>0</v>
      </c>
      <c r="AE21" s="22" t="n">
        <f aca="false">AE11*Inputs!$C$20</f>
        <v>0</v>
      </c>
      <c r="AF21" s="22" t="n">
        <f aca="false">AF11*Inputs!$C$20</f>
        <v>0</v>
      </c>
      <c r="AG21" s="22" t="n">
        <f aca="false">AG11*Inputs!$C$20</f>
        <v>0</v>
      </c>
      <c r="AH21" s="22" t="n">
        <f aca="false">AH11*Inputs!$C$20</f>
        <v>0</v>
      </c>
      <c r="AI21" s="22" t="n">
        <f aca="false">AI11*Inputs!$C$20</f>
        <v>0</v>
      </c>
      <c r="AJ21" s="22" t="n">
        <f aca="false">AJ11*Inputs!$C$20</f>
        <v>0</v>
      </c>
      <c r="AK21" s="22" t="n">
        <f aca="false">AK11*Inputs!$C$20</f>
        <v>0</v>
      </c>
      <c r="AL21" s="22" t="n">
        <f aca="false">AL11*Inputs!$C$20</f>
        <v>0</v>
      </c>
    </row>
    <row r="22" customFormat="false" ht="15" hidden="false" customHeight="false" outlineLevel="0" collapsed="false">
      <c r="A22" s="19" t="s">
        <v>275</v>
      </c>
      <c r="B22" s="7" t="s">
        <v>209</v>
      </c>
      <c r="C22" s="23" t="n">
        <f aca="false">SUM(C19:C21)</f>
        <v>29440</v>
      </c>
      <c r="D22" s="23" t="n">
        <f aca="false">SUM(D19:D21)</f>
        <v>31674.496</v>
      </c>
      <c r="E22" s="23" t="n">
        <f aca="false">SUM(E19:E21)</f>
        <v>34078.5902464</v>
      </c>
      <c r="F22" s="23" t="n">
        <f aca="false">SUM(F19:F21)</f>
        <v>36665.1552461017</v>
      </c>
      <c r="G22" s="23" t="n">
        <f aca="false">SUM(G19:G21)</f>
        <v>39448.0405292809</v>
      </c>
      <c r="H22" s="23" t="n">
        <f aca="false">SUM(H19:H21)</f>
        <v>42442.1468054533</v>
      </c>
      <c r="I22" s="23" t="n">
        <f aca="false">SUM(I19:I21)</f>
        <v>45663.5057479872</v>
      </c>
      <c r="J22" s="23" t="n">
        <f aca="false">SUM(J19:J21)</f>
        <v>49129.3658342594</v>
      </c>
      <c r="K22" s="23" t="n">
        <f aca="false">SUM(K19:K21)</f>
        <v>52858.2847010797</v>
      </c>
      <c r="L22" s="23" t="n">
        <f aca="false">SUM(L19:L21)</f>
        <v>56870.2285098917</v>
      </c>
      <c r="M22" s="23" t="n">
        <f aca="false">SUM(M19:M21)</f>
        <v>61186.6788537924</v>
      </c>
      <c r="N22" s="23" t="n">
        <f aca="false">SUM(N19:N21)</f>
        <v>65830.7477787953</v>
      </c>
      <c r="O22" s="23" t="n">
        <f aca="false">SUM(O19:O21)</f>
        <v>70827.3015352058</v>
      </c>
      <c r="P22" s="23" t="n">
        <f aca="false">SUM(P19:P21)</f>
        <v>76203.093721728</v>
      </c>
      <c r="Q22" s="23" t="n">
        <f aca="false">SUM(Q19:Q21)</f>
        <v>81986.9085352071</v>
      </c>
      <c r="R22" s="23" t="n">
        <f aca="false">SUM(R19:R21)</f>
        <v>88209.7148930293</v>
      </c>
      <c r="S22" s="23" t="n">
        <f aca="false">SUM(S19:S21)</f>
        <v>94904.8322534102</v>
      </c>
      <c r="T22" s="23" t="n">
        <f aca="false">SUM(T19:T21)</f>
        <v>102108.109021444</v>
      </c>
      <c r="U22" s="23" t="n">
        <f aca="false">SUM(U19:U21)</f>
        <v>109858.114496172</v>
      </c>
      <c r="V22" s="23" t="n">
        <f aca="false">SUM(V19:V21)</f>
        <v>118196.345386431</v>
      </c>
      <c r="W22" s="23" t="n">
        <f aca="false">SUM(W19:W21)</f>
        <v>127167.448001261</v>
      </c>
      <c r="X22" s="23" t="n">
        <f aca="false">SUM(X19:X21)</f>
        <v>136819.457304557</v>
      </c>
      <c r="Y22" s="23" t="n">
        <f aca="false">SUM(Y19:Y21)</f>
        <v>147204.054113973</v>
      </c>
      <c r="Z22" s="23" t="n">
        <f aca="false">SUM(Z19:Z21)</f>
        <v>158376.841821223</v>
      </c>
      <c r="AA22" s="23" t="n">
        <f aca="false">SUM(AA19:AA21)</f>
        <v>170397.644115454</v>
      </c>
      <c r="AB22" s="23" t="n">
        <f aca="false">SUM(AB19:AB21)</f>
        <v>183330.825303817</v>
      </c>
      <c r="AC22" s="23" t="n">
        <f aca="false">SUM(AC19:AC21)</f>
        <v>197245.634944377</v>
      </c>
      <c r="AD22" s="23" t="n">
        <f aca="false">SUM(AD19:AD21)</f>
        <v>212216.578636655</v>
      </c>
      <c r="AE22" s="23" t="n">
        <f aca="false">SUM(AE19:AE21)</f>
        <v>228323.816955177</v>
      </c>
      <c r="AF22" s="23" t="n">
        <f aca="false">SUM(AF19:AF21)</f>
        <v>245653.594662075</v>
      </c>
      <c r="AG22" s="23" t="n">
        <f aca="false">SUM(AG19:AG21)</f>
        <v>264298.702496927</v>
      </c>
      <c r="AH22" s="23" t="n">
        <f aca="false">SUM(AH19:AH21)</f>
        <v>284358.974016443</v>
      </c>
      <c r="AI22" s="23" t="n">
        <f aca="false">SUM(AI19:AI21)</f>
        <v>305941.820144291</v>
      </c>
      <c r="AJ22" s="23" t="n">
        <f aca="false">SUM(AJ19:AJ21)</f>
        <v>329162.804293243</v>
      </c>
      <c r="AK22" s="23" t="n">
        <f aca="false">SUM(AK19:AK21)</f>
        <v>354146.2611391</v>
      </c>
      <c r="AL22" s="23" t="n">
        <f aca="false">SUM(AL19:AL21)</f>
        <v>381025.962359558</v>
      </c>
    </row>
    <row r="23" customFormat="false" ht="15" hidden="false" customHeight="false" outlineLevel="0" collapsed="false">
      <c r="A23" s="9" t="s">
        <v>276</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row>
    <row r="24" customFormat="false" ht="15" hidden="false" customHeight="false" outlineLevel="0" collapsed="false">
      <c r="A24" s="7" t="s">
        <v>277</v>
      </c>
      <c r="B24" s="7" t="s">
        <v>209</v>
      </c>
      <c r="C24" s="24" t="n">
        <f aca="false">Inputs!$C$22*(1-$B$5)^((C$8-1)/12)</f>
        <v>0.006</v>
      </c>
      <c r="D24" s="24" t="n">
        <f aca="false">Inputs!$C$22*(1-$B$5)^((D$8-1)/12)</f>
        <v>0.00574994717176289</v>
      </c>
      <c r="E24" s="24" t="n">
        <f aca="false">Inputs!$C$22*(1-$B$5)^((E$8-1)/12)</f>
        <v>0.00551031541301067</v>
      </c>
      <c r="F24" s="24" t="n">
        <f aca="false">Inputs!$C$22*(1-$B$5)^((F$8-1)/12)</f>
        <v>0.00528067042076036</v>
      </c>
      <c r="G24" s="24" t="n">
        <f aca="false">Inputs!$C$22*(1-$B$5)^((G$8-1)/12)</f>
        <v>0.0050605959918105</v>
      </c>
      <c r="H24" s="24" t="n">
        <f aca="false">Inputs!$C$22*(1-$B$5)^((H$8-1)/12)</f>
        <v>0.00484969326842423</v>
      </c>
      <c r="I24" s="24" t="n">
        <f aca="false">Inputs!$C$22*(1-$B$5)^((I$8-1)/12)</f>
        <v>0.0046475800154489</v>
      </c>
      <c r="J24" s="24" t="n">
        <f aca="false">Inputs!$C$22*(1-$B$5)^((J$8-1)/12)</f>
        <v>0.00445388992756202</v>
      </c>
      <c r="K24" s="24" t="n">
        <f aca="false">Inputs!$C$22*(1-$B$5)^((K$8-1)/12)</f>
        <v>0.00426827196538808</v>
      </c>
      <c r="L24" s="24" t="n">
        <f aca="false">Inputs!$C$22*(1-$B$5)^((L$8-1)/12)</f>
        <v>0.004090389719283</v>
      </c>
      <c r="M24" s="24" t="n">
        <f aca="false">Inputs!$C$22*(1-$B$5)^((M$8-1)/12)</f>
        <v>0.00391992079963321</v>
      </c>
      <c r="N24" s="24" t="n">
        <f aca="false">Inputs!$C$22*(1-$B$5)^((N$8-1)/12)</f>
        <v>0.00375655625256425</v>
      </c>
      <c r="O24" s="24" t="n">
        <f aca="false">Inputs!$C$22*(1-$B$5)^((O$8-1)/12)</f>
        <v>0.0036</v>
      </c>
      <c r="P24" s="24" t="n">
        <f aca="false">Inputs!$C$22*(1-$B$5)^((P$8-1)/12)</f>
        <v>0.00344996830305773</v>
      </c>
      <c r="Q24" s="24" t="n">
        <f aca="false">Inputs!$C$22*(1-$B$5)^((Q$8-1)/12)</f>
        <v>0.0033061892478064</v>
      </c>
      <c r="R24" s="24" t="n">
        <f aca="false">Inputs!$C$22*(1-$B$5)^((R$8-1)/12)</f>
        <v>0.00316840225245622</v>
      </c>
      <c r="S24" s="24" t="n">
        <f aca="false">Inputs!$C$22*(1-$B$5)^((S$8-1)/12)</f>
        <v>0.0030363575950863</v>
      </c>
      <c r="T24" s="24" t="n">
        <f aca="false">Inputs!$C$22*(1-$B$5)^((T$8-1)/12)</f>
        <v>0.00290981596105454</v>
      </c>
      <c r="U24" s="24" t="n">
        <f aca="false">Inputs!$C$22*(1-$B$5)^((U$8-1)/12)</f>
        <v>0.00278854800926934</v>
      </c>
      <c r="V24" s="24" t="n">
        <f aca="false">Inputs!$C$22*(1-$B$5)^((V$8-1)/12)</f>
        <v>0.00267233395653721</v>
      </c>
      <c r="W24" s="24" t="n">
        <f aca="false">Inputs!$C$22*(1-$B$5)^((W$8-1)/12)</f>
        <v>0.00256096317923285</v>
      </c>
      <c r="X24" s="24" t="n">
        <f aca="false">Inputs!$C$22*(1-$B$5)^((X$8-1)/12)</f>
        <v>0.0024542338315698</v>
      </c>
      <c r="Y24" s="24" t="n">
        <f aca="false">Inputs!$C$22*(1-$B$5)^((Y$8-1)/12)</f>
        <v>0.00235195247977993</v>
      </c>
      <c r="Z24" s="24" t="n">
        <f aca="false">Inputs!$C$22*(1-$B$5)^((Z$8-1)/12)</f>
        <v>0.00225393375153855</v>
      </c>
      <c r="AA24" s="24" t="n">
        <f aca="false">Inputs!$C$22*(1-$B$5)^((AA$8-1)/12)</f>
        <v>0.00216</v>
      </c>
      <c r="AB24" s="24" t="n">
        <f aca="false">Inputs!$C$22*(1-$B$5)^((AB$8-1)/12)</f>
        <v>0.00206998098183464</v>
      </c>
      <c r="AC24" s="24" t="n">
        <f aca="false">Inputs!$C$22*(1-$B$5)^((AC$8-1)/12)</f>
        <v>0.00198371354868384</v>
      </c>
      <c r="AD24" s="24" t="n">
        <f aca="false">Inputs!$C$22*(1-$B$5)^((AD$8-1)/12)</f>
        <v>0.00190104135147373</v>
      </c>
      <c r="AE24" s="24" t="n">
        <f aca="false">Inputs!$C$22*(1-$B$5)^((AE$8-1)/12)</f>
        <v>0.00182181455705178</v>
      </c>
      <c r="AF24" s="24" t="n">
        <f aca="false">Inputs!$C$22*(1-$B$5)^((AF$8-1)/12)</f>
        <v>0.00174588957663272</v>
      </c>
      <c r="AG24" s="24" t="n">
        <f aca="false">Inputs!$C$22*(1-$B$5)^((AG$8-1)/12)</f>
        <v>0.0016731288055616</v>
      </c>
      <c r="AH24" s="24" t="n">
        <f aca="false">Inputs!$C$22*(1-$B$5)^((AH$8-1)/12)</f>
        <v>0.00160340037392233</v>
      </c>
      <c r="AI24" s="24" t="n">
        <f aca="false">Inputs!$C$22*(1-$B$5)^((AI$8-1)/12)</f>
        <v>0.00153657790753971</v>
      </c>
      <c r="AJ24" s="24" t="n">
        <f aca="false">Inputs!$C$22*(1-$B$5)^((AJ$8-1)/12)</f>
        <v>0.00147254029894188</v>
      </c>
      <c r="AK24" s="24" t="n">
        <f aca="false">Inputs!$C$22*(1-$B$5)^((AK$8-1)/12)</f>
        <v>0.00141117148786796</v>
      </c>
      <c r="AL24" s="24" t="n">
        <f aca="false">Inputs!$C$22*(1-$B$5)^((AL$8-1)/12)</f>
        <v>0.00135236025092313</v>
      </c>
    </row>
    <row r="25" customFormat="false" ht="15" hidden="false" customHeight="false" outlineLevel="0" collapsed="false">
      <c r="A25" s="7" t="s">
        <v>278</v>
      </c>
      <c r="B25" s="7" t="s">
        <v>209</v>
      </c>
      <c r="C25" s="22" t="n">
        <f aca="false">C15*C24*(1-$B$7)</f>
        <v>7680</v>
      </c>
      <c r="D25" s="22" t="n">
        <f aca="false">D15*D24*(1-$B$7)</f>
        <v>7918.5512474876</v>
      </c>
      <c r="E25" s="22" t="n">
        <f aca="false">E15*E24*(1-$B$7)</f>
        <v>8164.51222123535</v>
      </c>
      <c r="F25" s="22" t="n">
        <f aca="false">F15*F24*(1-$B$7)</f>
        <v>8418.1130774207</v>
      </c>
      <c r="G25" s="22" t="n">
        <f aca="false">G15*G24*(1-$B$7)</f>
        <v>8679.59112118508</v>
      </c>
      <c r="H25" s="22" t="n">
        <f aca="false">H15*H24*(1-$B$7)</f>
        <v>8949.19102869042</v>
      </c>
      <c r="I25" s="22" t="n">
        <f aca="false">I15*I24*(1-$B$7)</f>
        <v>9227.1650760731</v>
      </c>
      <c r="J25" s="22" t="n">
        <f aca="false">J15*J24*(1-$B$7)</f>
        <v>9513.77337550947</v>
      </c>
      <c r="K25" s="22" t="n">
        <f aca="false">K15*K24*(1-$B$7)</f>
        <v>9809.28411861391</v>
      </c>
      <c r="L25" s="22" t="n">
        <f aca="false">L15*L24*(1-$B$7)</f>
        <v>10113.9738273972</v>
      </c>
      <c r="M25" s="22" t="n">
        <f aca="false">M15*M24*(1-$B$7)</f>
        <v>10428.1276130199</v>
      </c>
      <c r="N25" s="22" t="n">
        <f aca="false">N15*N24*(1-$B$7)</f>
        <v>10752.0394425832</v>
      </c>
      <c r="O25" s="22" t="n">
        <f aca="false">O15*O24*(1-$B$7)</f>
        <v>11086.0124142061</v>
      </c>
      <c r="P25" s="22" t="n">
        <f aca="false">P15*P24*(1-$B$7)</f>
        <v>11430.3590406478</v>
      </c>
      <c r="Q25" s="22" t="n">
        <f aca="false">Q15*Q24*(1-$B$7)</f>
        <v>11785.4015417386</v>
      </c>
      <c r="R25" s="22" t="n">
        <f aca="false">R15*R24*(1-$B$7)</f>
        <v>12151.4721458954</v>
      </c>
      <c r="S25" s="22" t="n">
        <f aca="false">S15*S24*(1-$B$7)</f>
        <v>12528.9134010014</v>
      </c>
      <c r="T25" s="22" t="n">
        <f aca="false">T15*T24*(1-$B$7)</f>
        <v>12918.0784949432</v>
      </c>
      <c r="U25" s="22" t="n">
        <f aca="false">U15*U24*(1-$B$7)</f>
        <v>13319.3315861036</v>
      </c>
      <c r="V25" s="22" t="n">
        <f aca="false">V15*V24*(1-$B$7)</f>
        <v>13733.04814412</v>
      </c>
      <c r="W25" s="22" t="n">
        <f aca="false">W15*W24*(1-$B$7)</f>
        <v>14159.6153012277</v>
      </c>
      <c r="X25" s="22" t="n">
        <f aca="false">X15*X24*(1-$B$7)</f>
        <v>14599.4322145158</v>
      </c>
      <c r="Y25" s="22" t="n">
        <f aca="false">Y15*Y24*(1-$B$7)</f>
        <v>15052.9104394355</v>
      </c>
      <c r="Z25" s="22" t="n">
        <f aca="false">Z15*Z24*(1-$B$7)</f>
        <v>15520.4743149103</v>
      </c>
      <c r="AA25" s="22" t="n">
        <f aca="false">AA15*AA24*(1-$B$7)</f>
        <v>16002.5613604079</v>
      </c>
      <c r="AB25" s="22" t="n">
        <f aca="false">AB15*AB24*(1-$B$7)</f>
        <v>16499.6226853457</v>
      </c>
      <c r="AC25" s="22" t="n">
        <f aca="false">AC15*AC24*(1-$B$7)</f>
        <v>17012.1234112134</v>
      </c>
      <c r="AD25" s="22" t="n">
        <f aca="false">AD15*AD24*(1-$B$7)</f>
        <v>17540.5431068069</v>
      </c>
      <c r="AE25" s="22" t="n">
        <f aca="false">AE15*AE24*(1-$B$7)</f>
        <v>18085.3762369812</v>
      </c>
      <c r="AF25" s="22" t="n">
        <f aca="false">AF15*AF24*(1-$B$7)</f>
        <v>18647.1326253425</v>
      </c>
      <c r="AG25" s="22" t="n">
        <f aca="false">AG15*AG24*(1-$B$7)</f>
        <v>19226.3379313115</v>
      </c>
      <c r="AH25" s="22" t="n">
        <f aca="false">AH15*AH24*(1-$B$7)</f>
        <v>19823.5341420058</v>
      </c>
      <c r="AI25" s="22" t="n">
        <f aca="false">AI15*AI24*(1-$B$7)</f>
        <v>20439.2800794002</v>
      </c>
      <c r="AJ25" s="22" t="n">
        <f aca="false">AJ15*AJ24*(1-$B$7)</f>
        <v>21074.15192324</v>
      </c>
      <c r="AK25" s="22" t="n">
        <f aca="false">AK15*AK24*(1-$B$7)</f>
        <v>21728.7437501973</v>
      </c>
      <c r="AL25" s="22" t="n">
        <f aca="false">AL15*AL24*(1-$B$7)</f>
        <v>22403.6680897739</v>
      </c>
    </row>
    <row r="26" customFormat="false" ht="15" hidden="false" customHeight="false" outlineLevel="0" collapsed="false">
      <c r="A26" s="7" t="s">
        <v>279</v>
      </c>
      <c r="B26" s="7" t="s">
        <v>243</v>
      </c>
      <c r="C26" s="25" t="n">
        <f aca="false">(1-$B$6)^((C$8-1)/12)*(1-Inputs!$C$27)</f>
        <v>0.9</v>
      </c>
      <c r="D26" s="25" t="n">
        <f aca="false">(1-$B$6)^((D$8-1)/12)*(1-Inputs!$C$27)</f>
        <v>0.892132550140773</v>
      </c>
      <c r="E26" s="25" t="n">
        <f aca="false">(1-$B$6)^((E$8-1)/12)*(1-Inputs!$C$27)</f>
        <v>0.884333874467421</v>
      </c>
      <c r="F26" s="25" t="n">
        <f aca="false">(1-$B$6)^((F$8-1)/12)*(1-Inputs!$C$27)</f>
        <v>0.876603371782767</v>
      </c>
      <c r="G26" s="25" t="n">
        <f aca="false">(1-$B$6)^((G$8-1)/12)*(1-Inputs!$C$27)</f>
        <v>0.868940446145067</v>
      </c>
      <c r="H26" s="25" t="n">
        <f aca="false">(1-$B$6)^((H$8-1)/12)*(1-Inputs!$C$27)</f>
        <v>0.861344506822066</v>
      </c>
      <c r="I26" s="25" t="n">
        <f aca="false">(1-$B$6)^((I$8-1)/12)*(1-Inputs!$C$27)</f>
        <v>0.853814968245462</v>
      </c>
      <c r="J26" s="25" t="n">
        <f aca="false">(1-$B$6)^((J$8-1)/12)*(1-Inputs!$C$27)</f>
        <v>0.846351249965764</v>
      </c>
      <c r="K26" s="25" t="n">
        <f aca="false">(1-$B$6)^((K$8-1)/12)*(1-Inputs!$C$27)</f>
        <v>0.838952776607542</v>
      </c>
      <c r="L26" s="25" t="n">
        <f aca="false">(1-$B$6)^((L$8-1)/12)*(1-Inputs!$C$27)</f>
        <v>0.831618977825076</v>
      </c>
      <c r="M26" s="25" t="n">
        <f aca="false">(1-$B$6)^((M$8-1)/12)*(1-Inputs!$C$27)</f>
        <v>0.824349288258387</v>
      </c>
      <c r="N26" s="25" t="n">
        <f aca="false">(1-$B$6)^((N$8-1)/12)*(1-Inputs!$C$27)</f>
        <v>0.817143147489651</v>
      </c>
      <c r="O26" s="25" t="n">
        <f aca="false">(1-$B$6)^((O$8-1)/12)*(1-Inputs!$C$27)</f>
        <v>0.81</v>
      </c>
      <c r="P26" s="25" t="n">
        <f aca="false">(1-$B$6)^((P$8-1)/12)*(1-Inputs!$C$27)</f>
        <v>0.802919295126696</v>
      </c>
      <c r="Q26" s="25" t="n">
        <f aca="false">(1-$B$6)^((Q$8-1)/12)*(1-Inputs!$C$27)</f>
        <v>0.795900487020679</v>
      </c>
      <c r="R26" s="25" t="n">
        <f aca="false">(1-$B$6)^((R$8-1)/12)*(1-Inputs!$C$27)</f>
        <v>0.78894303460449</v>
      </c>
      <c r="S26" s="25" t="n">
        <f aca="false">(1-$B$6)^((S$8-1)/12)*(1-Inputs!$C$27)</f>
        <v>0.78204640153056</v>
      </c>
      <c r="T26" s="25" t="n">
        <f aca="false">(1-$B$6)^((T$8-1)/12)*(1-Inputs!$C$27)</f>
        <v>0.77521005613986</v>
      </c>
      <c r="U26" s="25" t="n">
        <f aca="false">(1-$B$6)^((U$8-1)/12)*(1-Inputs!$C$27)</f>
        <v>0.768433471420916</v>
      </c>
      <c r="V26" s="25" t="n">
        <f aca="false">(1-$B$6)^((V$8-1)/12)*(1-Inputs!$C$27)</f>
        <v>0.761716124969188</v>
      </c>
      <c r="W26" s="25" t="n">
        <f aca="false">(1-$B$6)^((W$8-1)/12)*(1-Inputs!$C$27)</f>
        <v>0.755057498946788</v>
      </c>
      <c r="X26" s="25" t="n">
        <f aca="false">(1-$B$6)^((X$8-1)/12)*(1-Inputs!$C$27)</f>
        <v>0.748457080042569</v>
      </c>
      <c r="Y26" s="25" t="n">
        <f aca="false">(1-$B$6)^((Y$8-1)/12)*(1-Inputs!$C$27)</f>
        <v>0.741914359432548</v>
      </c>
      <c r="Z26" s="25" t="n">
        <f aca="false">(1-$B$6)^((Z$8-1)/12)*(1-Inputs!$C$27)</f>
        <v>0.735428832740686</v>
      </c>
      <c r="AA26" s="25" t="n">
        <f aca="false">(1-$B$6)^((AA$8-1)/12)*(1-Inputs!$C$27)</f>
        <v>0.729</v>
      </c>
      <c r="AB26" s="25" t="n">
        <f aca="false">(1-$B$6)^((AB$8-1)/12)*(1-Inputs!$C$27)</f>
        <v>0.722627365614026</v>
      </c>
      <c r="AC26" s="25" t="n">
        <f aca="false">(1-$B$6)^((AC$8-1)/12)*(1-Inputs!$C$27)</f>
        <v>0.716310438318611</v>
      </c>
      <c r="AD26" s="25" t="n">
        <f aca="false">(1-$B$6)^((AD$8-1)/12)*(1-Inputs!$C$27)</f>
        <v>0.710048731144041</v>
      </c>
      <c r="AE26" s="25" t="n">
        <f aca="false">(1-$B$6)^((AE$8-1)/12)*(1-Inputs!$C$27)</f>
        <v>0.703841761377504</v>
      </c>
      <c r="AF26" s="25" t="n">
        <f aca="false">(1-$B$6)^((AF$8-1)/12)*(1-Inputs!$C$27)</f>
        <v>0.697689050525874</v>
      </c>
      <c r="AG26" s="25" t="n">
        <f aca="false">(1-$B$6)^((AG$8-1)/12)*(1-Inputs!$C$27)</f>
        <v>0.691590124278825</v>
      </c>
      <c r="AH26" s="25" t="n">
        <f aca="false">(1-$B$6)^((AH$8-1)/12)*(1-Inputs!$C$27)</f>
        <v>0.685544512472269</v>
      </c>
      <c r="AI26" s="25" t="n">
        <f aca="false">(1-$B$6)^((AI$8-1)/12)*(1-Inputs!$C$27)</f>
        <v>0.679551749052109</v>
      </c>
      <c r="AJ26" s="25" t="n">
        <f aca="false">(1-$B$6)^((AJ$8-1)/12)*(1-Inputs!$C$27)</f>
        <v>0.673611372038312</v>
      </c>
      <c r="AK26" s="25" t="n">
        <f aca="false">(1-$B$6)^((AK$8-1)/12)*(1-Inputs!$C$27)</f>
        <v>0.667722923489293</v>
      </c>
      <c r="AL26" s="25" t="n">
        <f aca="false">(1-$B$6)^((AL$8-1)/12)*(1-Inputs!$C$27)</f>
        <v>0.661885949466617</v>
      </c>
    </row>
    <row r="27" customFormat="false" ht="15" hidden="false" customHeight="false" outlineLevel="0" collapsed="false">
      <c r="A27" s="7" t="s">
        <v>280</v>
      </c>
      <c r="B27" s="7" t="s">
        <v>209</v>
      </c>
      <c r="C27" s="22" t="n">
        <f aca="false">C13/1000*Inputs!$C$24*C26</f>
        <v>4320</v>
      </c>
      <c r="D27" s="22" t="n">
        <f aca="false">D13/1000*Inputs!$C$24*D26</f>
        <v>4607.257971343</v>
      </c>
      <c r="E27" s="22" t="n">
        <f aca="false">E13/1000*Inputs!$C$24*E26</f>
        <v>4913.61713298694</v>
      </c>
      <c r="F27" s="22" t="n">
        <f aca="false">F13/1000*Inputs!$C$24*F26</f>
        <v>5240.34761668555</v>
      </c>
      <c r="G27" s="22" t="n">
        <f aca="false">G13/1000*Inputs!$C$24*G26</f>
        <v>5588.8040114775</v>
      </c>
      <c r="H27" s="22" t="n">
        <f aca="false">H13/1000*Inputs!$C$24*H26</f>
        <v>5960.43097966515</v>
      </c>
      <c r="I27" s="22" t="n">
        <f aca="false">I13/1000*Inputs!$C$24*I26</f>
        <v>6356.76924622731</v>
      </c>
      <c r="J27" s="22" t="n">
        <f aca="false">J13/1000*Inputs!$C$24*J26</f>
        <v>6779.46198649741</v>
      </c>
      <c r="K27" s="22" t="n">
        <f aca="false">K13/1000*Inputs!$C$24*K26</f>
        <v>7230.26163858958</v>
      </c>
      <c r="L27" s="22" t="n">
        <f aca="false">L13/1000*Inputs!$C$24*L26</f>
        <v>7711.03716881651</v>
      </c>
      <c r="M27" s="22" t="n">
        <f aca="false">M13/1000*Inputs!$C$24*M26</f>
        <v>8223.78182022037</v>
      </c>
      <c r="N27" s="22" t="n">
        <f aca="false">N13/1000*Inputs!$C$24*N26</f>
        <v>8770.62137634165</v>
      </c>
      <c r="O27" s="22" t="n">
        <f aca="false">O13/1000*Inputs!$C$24*O26</f>
        <v>9353.82297448642</v>
      </c>
      <c r="P27" s="22" t="n">
        <f aca="false">P13/1000*Inputs!$C$24*P26</f>
        <v>9975.80450503098</v>
      </c>
      <c r="Q27" s="22" t="n">
        <f aca="false">Q13/1000*Inputs!$C$24*Q26</f>
        <v>10639.1446357323</v>
      </c>
      <c r="R27" s="22" t="n">
        <f aca="false">R13/1000*Inputs!$C$24*R26</f>
        <v>11346.5935026038</v>
      </c>
      <c r="S27" s="22" t="n">
        <f aca="false">S13/1000*Inputs!$C$24*S26</f>
        <v>12101.0841116806</v>
      </c>
      <c r="T27" s="22" t="n">
        <f aca="false">T13/1000*Inputs!$C$24*T26</f>
        <v>12905.7444989427</v>
      </c>
      <c r="U27" s="22" t="n">
        <f aca="false">U13/1000*Inputs!$C$24*U26</f>
        <v>13763.9106988124</v>
      </c>
      <c r="V27" s="22" t="n">
        <f aca="false">V13/1000*Inputs!$C$24*V26</f>
        <v>14679.14057499</v>
      </c>
      <c r="W27" s="22" t="n">
        <f aca="false">W13/1000*Inputs!$C$24*W26</f>
        <v>15655.2285709692</v>
      </c>
      <c r="X27" s="22" t="n">
        <f aca="false">X13/1000*Inputs!$C$24*X26</f>
        <v>16696.2214413877</v>
      </c>
      <c r="Y27" s="22" t="n">
        <f aca="false">Y13/1000*Inputs!$C$24*Y26</f>
        <v>17806.4350294308</v>
      </c>
      <c r="Z27" s="22" t="n">
        <f aca="false">Z13/1000*Inputs!$C$24*Z26</f>
        <v>18990.4721598487</v>
      </c>
      <c r="AA27" s="22" t="n">
        <f aca="false">AA13/1000*Inputs!$C$24*AA26</f>
        <v>20253.2417217662</v>
      </c>
      <c r="AB27" s="22" t="n">
        <f aca="false">AB13/1000*Inputs!$C$24*AB26</f>
        <v>21599.9790204037</v>
      </c>
      <c r="AC27" s="22" t="n">
        <f aca="false">AC13/1000*Inputs!$C$24*AC26</f>
        <v>23036.2674820825</v>
      </c>
      <c r="AD27" s="22" t="n">
        <f aca="false">AD13/1000*Inputs!$C$24*AD26</f>
        <v>24568.0618025033</v>
      </c>
      <c r="AE27" s="22" t="n">
        <f aca="false">AE13/1000*Inputs!$C$24*AE26</f>
        <v>26201.7126342663</v>
      </c>
      <c r="AF27" s="22" t="n">
        <f aca="false">AF13/1000*Inputs!$C$24*AF26</f>
        <v>27943.9929159866</v>
      </c>
      <c r="AG27" s="22" t="n">
        <f aca="false">AG13/1000*Inputs!$C$24*AG26</f>
        <v>29802.12595216</v>
      </c>
      <c r="AH27" s="22" t="n">
        <f aca="false">AH13/1000*Inputs!$C$24*AH26</f>
        <v>31783.8153601984</v>
      </c>
      <c r="AI27" s="22" t="n">
        <f aca="false">AI13/1000*Inputs!$C$24*AI26</f>
        <v>33897.277008789</v>
      </c>
      <c r="AJ27" s="22" t="n">
        <f aca="false">AJ13/1000*Inputs!$C$24*AJ26</f>
        <v>36151.2730799918</v>
      </c>
      <c r="AK27" s="22" t="n">
        <f aca="false">AK13/1000*Inputs!$C$24*AK26</f>
        <v>38555.1483962939</v>
      </c>
      <c r="AL27" s="22" t="n">
        <f aca="false">AL13/1000*Inputs!$C$24*AL26</f>
        <v>41118.8691632262</v>
      </c>
    </row>
    <row r="28" customFormat="false" ht="15" hidden="false" customHeight="false" outlineLevel="0" collapsed="false">
      <c r="A28" s="7" t="s">
        <v>281</v>
      </c>
      <c r="B28" s="7" t="s">
        <v>209</v>
      </c>
      <c r="C28" s="22" t="n">
        <f aca="false">C13/1000*Inputs!$C$25*C26</f>
        <v>1080</v>
      </c>
      <c r="D28" s="22" t="n">
        <f aca="false">D13/1000*Inputs!$C$25*D26</f>
        <v>1151.81449283575</v>
      </c>
      <c r="E28" s="22" t="n">
        <f aca="false">E13/1000*Inputs!$C$25*E26</f>
        <v>1228.40428324673</v>
      </c>
      <c r="F28" s="22" t="n">
        <f aca="false">F13/1000*Inputs!$C$25*F26</f>
        <v>1310.08690417139</v>
      </c>
      <c r="G28" s="22" t="n">
        <f aca="false">G13/1000*Inputs!$C$25*G26</f>
        <v>1397.20100286937</v>
      </c>
      <c r="H28" s="22" t="n">
        <f aca="false">H13/1000*Inputs!$C$25*H26</f>
        <v>1490.10774491629</v>
      </c>
      <c r="I28" s="22" t="n">
        <f aca="false">I13/1000*Inputs!$C$25*I26</f>
        <v>1589.19231155683</v>
      </c>
      <c r="J28" s="22" t="n">
        <f aca="false">J13/1000*Inputs!$C$25*J26</f>
        <v>1694.86549662435</v>
      </c>
      <c r="K28" s="22" t="n">
        <f aca="false">K13/1000*Inputs!$C$25*K26</f>
        <v>1807.5654096474</v>
      </c>
      <c r="L28" s="22" t="n">
        <f aca="false">L13/1000*Inputs!$C$25*L26</f>
        <v>1927.75929220413</v>
      </c>
      <c r="M28" s="22" t="n">
        <f aca="false">M13/1000*Inputs!$C$25*M26</f>
        <v>2055.94545505509</v>
      </c>
      <c r="N28" s="22" t="n">
        <f aca="false">N13/1000*Inputs!$C$25*N26</f>
        <v>2192.65534408541</v>
      </c>
      <c r="O28" s="22" t="n">
        <f aca="false">O13/1000*Inputs!$C$25*O26</f>
        <v>2338.45574362161</v>
      </c>
      <c r="P28" s="22" t="n">
        <f aca="false">P13/1000*Inputs!$C$25*P26</f>
        <v>2493.95112625775</v>
      </c>
      <c r="Q28" s="22" t="n">
        <f aca="false">Q13/1000*Inputs!$C$25*Q26</f>
        <v>2659.78615893306</v>
      </c>
      <c r="R28" s="22" t="n">
        <f aca="false">R13/1000*Inputs!$C$25*R26</f>
        <v>2836.64837565096</v>
      </c>
      <c r="S28" s="22" t="n">
        <f aca="false">S13/1000*Inputs!$C$25*S26</f>
        <v>3025.27102792015</v>
      </c>
      <c r="T28" s="22" t="n">
        <f aca="false">T13/1000*Inputs!$C$25*T26</f>
        <v>3226.43612473567</v>
      </c>
      <c r="U28" s="22" t="n">
        <f aca="false">U13/1000*Inputs!$C$25*U26</f>
        <v>3440.97767470311</v>
      </c>
      <c r="V28" s="22" t="n">
        <f aca="false">V13/1000*Inputs!$C$25*V26</f>
        <v>3669.7851437475</v>
      </c>
      <c r="W28" s="22" t="n">
        <f aca="false">W13/1000*Inputs!$C$25*W26</f>
        <v>3913.80714274231</v>
      </c>
      <c r="X28" s="22" t="n">
        <f aca="false">X13/1000*Inputs!$C$25*X26</f>
        <v>4174.05536034691</v>
      </c>
      <c r="Y28" s="22" t="n">
        <f aca="false">Y13/1000*Inputs!$C$25*Y26</f>
        <v>4451.6087573577</v>
      </c>
      <c r="Z28" s="22" t="n">
        <f aca="false">Z13/1000*Inputs!$C$25*Z26</f>
        <v>4747.61803996217</v>
      </c>
      <c r="AA28" s="22" t="n">
        <f aca="false">AA13/1000*Inputs!$C$25*AA26</f>
        <v>5063.31043044155</v>
      </c>
      <c r="AB28" s="22" t="n">
        <f aca="false">AB13/1000*Inputs!$C$25*AB26</f>
        <v>5399.99475510092</v>
      </c>
      <c r="AC28" s="22" t="n">
        <f aca="false">AC13/1000*Inputs!$C$25*AC26</f>
        <v>5759.06687052062</v>
      </c>
      <c r="AD28" s="22" t="n">
        <f aca="false">AD13/1000*Inputs!$C$25*AD26</f>
        <v>6142.01545062581</v>
      </c>
      <c r="AE28" s="22" t="n">
        <f aca="false">AE13/1000*Inputs!$C$25*AE26</f>
        <v>6550.42815856658</v>
      </c>
      <c r="AF28" s="22" t="n">
        <f aca="false">AF13/1000*Inputs!$C$25*AF26</f>
        <v>6985.99822899664</v>
      </c>
      <c r="AG28" s="22" t="n">
        <f aca="false">AG13/1000*Inputs!$C$25*AG26</f>
        <v>7450.53148804001</v>
      </c>
      <c r="AH28" s="22" t="n">
        <f aca="false">AH13/1000*Inputs!$C$25*AH26</f>
        <v>7945.95384004961</v>
      </c>
      <c r="AI28" s="22" t="n">
        <f aca="false">AI13/1000*Inputs!$C$25*AI26</f>
        <v>8474.31925219724</v>
      </c>
      <c r="AJ28" s="22" t="n">
        <f aca="false">AJ13/1000*Inputs!$C$25*AJ26</f>
        <v>9037.81826999795</v>
      </c>
      <c r="AK28" s="22" t="n">
        <f aca="false">AK13/1000*Inputs!$C$25*AK26</f>
        <v>9638.78709907348</v>
      </c>
      <c r="AL28" s="22" t="n">
        <f aca="false">AL13/1000*Inputs!$C$25*AL26</f>
        <v>10279.7172908066</v>
      </c>
    </row>
    <row r="29" customFormat="false" ht="15" hidden="false" customHeight="false" outlineLevel="0" collapsed="false">
      <c r="A29" s="7" t="s">
        <v>282</v>
      </c>
      <c r="B29" s="7" t="s">
        <v>209</v>
      </c>
      <c r="C29" s="22" t="n">
        <f aca="false">C13/1000*Inputs!$C$26*C26</f>
        <v>1800</v>
      </c>
      <c r="D29" s="22" t="n">
        <f aca="false">D13/1000*Inputs!$C$26*D26</f>
        <v>1919.69082139292</v>
      </c>
      <c r="E29" s="22" t="n">
        <f aca="false">E13/1000*Inputs!$C$26*E26</f>
        <v>2047.34047207789</v>
      </c>
      <c r="F29" s="22" t="n">
        <f aca="false">F13/1000*Inputs!$C$26*F26</f>
        <v>2183.47817361898</v>
      </c>
      <c r="G29" s="22" t="n">
        <f aca="false">G13/1000*Inputs!$C$26*G26</f>
        <v>2328.66833811563</v>
      </c>
      <c r="H29" s="22" t="n">
        <f aca="false">H13/1000*Inputs!$C$26*H26</f>
        <v>2483.51290819381</v>
      </c>
      <c r="I29" s="22" t="n">
        <f aca="false">I13/1000*Inputs!$C$26*I26</f>
        <v>2648.65385259471</v>
      </c>
      <c r="J29" s="22" t="n">
        <f aca="false">J13/1000*Inputs!$C$26*J26</f>
        <v>2824.77582770725</v>
      </c>
      <c r="K29" s="22" t="n">
        <f aca="false">K13/1000*Inputs!$C$26*K26</f>
        <v>3012.60901607899</v>
      </c>
      <c r="L29" s="22" t="n">
        <f aca="false">L13/1000*Inputs!$C$26*L26</f>
        <v>3212.93215367355</v>
      </c>
      <c r="M29" s="22" t="n">
        <f aca="false">M13/1000*Inputs!$C$26*M26</f>
        <v>3426.57575842515</v>
      </c>
      <c r="N29" s="22" t="n">
        <f aca="false">N13/1000*Inputs!$C$26*N26</f>
        <v>3654.42557347569</v>
      </c>
      <c r="O29" s="22" t="n">
        <f aca="false">O13/1000*Inputs!$C$26*O26</f>
        <v>3897.42623936934</v>
      </c>
      <c r="P29" s="22" t="n">
        <f aca="false">P13/1000*Inputs!$C$26*P26</f>
        <v>4156.58521042957</v>
      </c>
      <c r="Q29" s="22" t="n">
        <f aca="false">Q13/1000*Inputs!$C$26*Q26</f>
        <v>4432.97693155511</v>
      </c>
      <c r="R29" s="22" t="n">
        <f aca="false">R13/1000*Inputs!$C$26*R26</f>
        <v>4727.7472927516</v>
      </c>
      <c r="S29" s="22" t="n">
        <f aca="false">S13/1000*Inputs!$C$26*S26</f>
        <v>5042.11837986691</v>
      </c>
      <c r="T29" s="22" t="n">
        <f aca="false">T13/1000*Inputs!$C$26*T26</f>
        <v>5377.39354122612</v>
      </c>
      <c r="U29" s="22" t="n">
        <f aca="false">U13/1000*Inputs!$C$26*U26</f>
        <v>5734.96279117185</v>
      </c>
      <c r="V29" s="22" t="n">
        <f aca="false">V13/1000*Inputs!$C$26*V26</f>
        <v>6116.3085729125</v>
      </c>
      <c r="W29" s="22" t="n">
        <f aca="false">W13/1000*Inputs!$C$26*W26</f>
        <v>6523.01190457051</v>
      </c>
      <c r="X29" s="22" t="n">
        <f aca="false">X13/1000*Inputs!$C$26*X26</f>
        <v>6956.75893391152</v>
      </c>
      <c r="Y29" s="22" t="n">
        <f aca="false">Y13/1000*Inputs!$C$26*Y26</f>
        <v>7419.3479289295</v>
      </c>
      <c r="Z29" s="22" t="n">
        <f aca="false">Z13/1000*Inputs!$C$26*Z26</f>
        <v>7912.69673327028</v>
      </c>
      <c r="AA29" s="22" t="n">
        <f aca="false">AA13/1000*Inputs!$C$26*AA26</f>
        <v>8438.85071740259</v>
      </c>
      <c r="AB29" s="22" t="n">
        <f aca="false">AB13/1000*Inputs!$C$26*AB26</f>
        <v>8999.99125850154</v>
      </c>
      <c r="AC29" s="22" t="n">
        <f aca="false">AC13/1000*Inputs!$C$26*AC26</f>
        <v>9598.44478420104</v>
      </c>
      <c r="AD29" s="22" t="n">
        <f aca="false">AD13/1000*Inputs!$C$26*AD26</f>
        <v>10236.6924177097</v>
      </c>
      <c r="AE29" s="22" t="n">
        <f aca="false">AE13/1000*Inputs!$C$26*AE26</f>
        <v>10917.3802642776</v>
      </c>
      <c r="AF29" s="22" t="n">
        <f aca="false">AF13/1000*Inputs!$C$26*AF26</f>
        <v>11643.3303816611</v>
      </c>
      <c r="AG29" s="22" t="n">
        <f aca="false">AG13/1000*Inputs!$C$26*AG26</f>
        <v>12417.5524800667</v>
      </c>
      <c r="AH29" s="22" t="n">
        <f aca="false">AH13/1000*Inputs!$C$26*AH26</f>
        <v>13243.2564000827</v>
      </c>
      <c r="AI29" s="22" t="n">
        <f aca="false">AI13/1000*Inputs!$C$26*AI26</f>
        <v>14123.8654203287</v>
      </c>
      <c r="AJ29" s="22" t="n">
        <f aca="false">AJ13/1000*Inputs!$C$26*AJ26</f>
        <v>15063.0304499966</v>
      </c>
      <c r="AK29" s="22" t="n">
        <f aca="false">AK13/1000*Inputs!$C$26*AK26</f>
        <v>16064.6451651225</v>
      </c>
      <c r="AL29" s="22" t="n">
        <f aca="false">AL13/1000*Inputs!$C$26*AL26</f>
        <v>17132.8621513443</v>
      </c>
    </row>
    <row r="30" customFormat="false" ht="15" hidden="false" customHeight="false" outlineLevel="0" collapsed="false">
      <c r="A30" s="19" t="s">
        <v>283</v>
      </c>
      <c r="B30" s="7" t="s">
        <v>209</v>
      </c>
      <c r="C30" s="23" t="n">
        <f aca="false">SUM(C27:C29)</f>
        <v>7200</v>
      </c>
      <c r="D30" s="23" t="n">
        <f aca="false">SUM(D27:D29)</f>
        <v>7678.76328557166</v>
      </c>
      <c r="E30" s="23" t="n">
        <f aca="false">SUM(E27:E29)</f>
        <v>8189.36188831157</v>
      </c>
      <c r="F30" s="23" t="n">
        <f aca="false">SUM(F27:F29)</f>
        <v>8733.91269447592</v>
      </c>
      <c r="G30" s="23" t="n">
        <f aca="false">SUM(G27:G29)</f>
        <v>9314.6733524625</v>
      </c>
      <c r="H30" s="23" t="n">
        <f aca="false">SUM(H27:H29)</f>
        <v>9934.05163277524</v>
      </c>
      <c r="I30" s="23" t="n">
        <f aca="false">SUM(I27:I29)</f>
        <v>10594.6154103789</v>
      </c>
      <c r="J30" s="23" t="n">
        <f aca="false">SUM(J27:J29)</f>
        <v>11299.103310829</v>
      </c>
      <c r="K30" s="23" t="n">
        <f aca="false">SUM(K27:K29)</f>
        <v>12050.436064316</v>
      </c>
      <c r="L30" s="23" t="n">
        <f aca="false">SUM(L27:L29)</f>
        <v>12851.7286146942</v>
      </c>
      <c r="M30" s="23" t="n">
        <f aca="false">SUM(M27:M29)</f>
        <v>13706.3030337006</v>
      </c>
      <c r="N30" s="23" t="n">
        <f aca="false">SUM(N27:N29)</f>
        <v>14617.7022939027</v>
      </c>
      <c r="O30" s="23" t="n">
        <f aca="false">SUM(O27:O29)</f>
        <v>15589.7049574774</v>
      </c>
      <c r="P30" s="23" t="n">
        <f aca="false">SUM(P27:P29)</f>
        <v>16626.3408417183</v>
      </c>
      <c r="Q30" s="23" t="n">
        <f aca="false">SUM(Q27:Q29)</f>
        <v>17731.9077262204</v>
      </c>
      <c r="R30" s="23" t="n">
        <f aca="false">SUM(R27:R29)</f>
        <v>18910.9891710064</v>
      </c>
      <c r="S30" s="23" t="n">
        <f aca="false">SUM(S27:S29)</f>
        <v>20168.4735194676</v>
      </c>
      <c r="T30" s="23" t="n">
        <f aca="false">SUM(T27:T29)</f>
        <v>21509.5741649045</v>
      </c>
      <c r="U30" s="23" t="n">
        <f aca="false">SUM(U27:U29)</f>
        <v>22939.8511646874</v>
      </c>
      <c r="V30" s="23" t="n">
        <f aca="false">SUM(V27:V29)</f>
        <v>24465.23429165</v>
      </c>
      <c r="W30" s="23" t="n">
        <f aca="false">SUM(W27:W29)</f>
        <v>26092.0476182821</v>
      </c>
      <c r="X30" s="23" t="n">
        <f aca="false">SUM(X27:X29)</f>
        <v>27827.0357356461</v>
      </c>
      <c r="Y30" s="23" t="n">
        <f aca="false">SUM(Y27:Y29)</f>
        <v>29677.391715718</v>
      </c>
      <c r="Z30" s="23" t="n">
        <f aca="false">SUM(Z27:Z29)</f>
        <v>31650.7869330811</v>
      </c>
      <c r="AA30" s="23" t="n">
        <f aca="false">SUM(AA27:AA29)</f>
        <v>33755.4028696104</v>
      </c>
      <c r="AB30" s="23" t="n">
        <f aca="false">SUM(AB27:AB29)</f>
        <v>35999.9650340062</v>
      </c>
      <c r="AC30" s="23" t="n">
        <f aca="false">SUM(AC27:AC29)</f>
        <v>38393.7791368042</v>
      </c>
      <c r="AD30" s="23" t="n">
        <f aca="false">SUM(AD27:AD29)</f>
        <v>40946.7696708388</v>
      </c>
      <c r="AE30" s="23" t="n">
        <f aca="false">SUM(AE27:AE29)</f>
        <v>43669.5210571105</v>
      </c>
      <c r="AF30" s="23" t="n">
        <f aca="false">SUM(AF27:AF29)</f>
        <v>46573.3215266443</v>
      </c>
      <c r="AG30" s="23" t="n">
        <f aca="false">SUM(AG27:AG29)</f>
        <v>49670.2099202667</v>
      </c>
      <c r="AH30" s="23" t="n">
        <f aca="false">SUM(AH27:AH29)</f>
        <v>52973.0256003307</v>
      </c>
      <c r="AI30" s="23" t="n">
        <f aca="false">SUM(AI27:AI29)</f>
        <v>56495.4616813149</v>
      </c>
      <c r="AJ30" s="23" t="n">
        <f aca="false">SUM(AJ27:AJ29)</f>
        <v>60252.1217999863</v>
      </c>
      <c r="AK30" s="23" t="n">
        <f aca="false">SUM(AK27:AK29)</f>
        <v>64258.5806604898</v>
      </c>
      <c r="AL30" s="23" t="n">
        <f aca="false">SUM(AL27:AL29)</f>
        <v>68531.448605377</v>
      </c>
    </row>
    <row r="31" customFormat="false" ht="15" hidden="false" customHeight="false" outlineLevel="0" collapsed="false">
      <c r="A31" s="7" t="s">
        <v>91</v>
      </c>
      <c r="B31" s="7" t="s">
        <v>209</v>
      </c>
      <c r="C31" s="22" t="n">
        <f aca="false">C22*Inputs!$C$29</f>
        <v>1472</v>
      </c>
      <c r="D31" s="22" t="n">
        <f aca="false">D22*Inputs!$C$29</f>
        <v>1583.7248</v>
      </c>
      <c r="E31" s="22" t="n">
        <f aca="false">E22*Inputs!$C$29</f>
        <v>1703.92951232</v>
      </c>
      <c r="F31" s="22" t="n">
        <f aca="false">F22*Inputs!$C$29</f>
        <v>1833.25776230509</v>
      </c>
      <c r="G31" s="22" t="n">
        <f aca="false">G22*Inputs!$C$29</f>
        <v>1972.40202646404</v>
      </c>
      <c r="H31" s="22" t="n">
        <f aca="false">H22*Inputs!$C$29</f>
        <v>2122.10734027266</v>
      </c>
      <c r="I31" s="22" t="n">
        <f aca="false">I22*Inputs!$C$29</f>
        <v>2283.17528739936</v>
      </c>
      <c r="J31" s="22" t="n">
        <f aca="false">J22*Inputs!$C$29</f>
        <v>2456.46829171297</v>
      </c>
      <c r="K31" s="22" t="n">
        <f aca="false">K22*Inputs!$C$29</f>
        <v>2642.91423505399</v>
      </c>
      <c r="L31" s="22" t="n">
        <f aca="false">L22*Inputs!$C$29</f>
        <v>2843.51142549458</v>
      </c>
      <c r="M31" s="22" t="n">
        <f aca="false">M22*Inputs!$C$29</f>
        <v>3059.33394268962</v>
      </c>
      <c r="N31" s="22" t="n">
        <f aca="false">N22*Inputs!$C$29</f>
        <v>3291.53738893976</v>
      </c>
      <c r="O31" s="22" t="n">
        <f aca="false">O22*Inputs!$C$29</f>
        <v>3541.36507676029</v>
      </c>
      <c r="P31" s="22" t="n">
        <f aca="false">P22*Inputs!$C$29</f>
        <v>3810.1546860864</v>
      </c>
      <c r="Q31" s="22" t="n">
        <f aca="false">Q22*Inputs!$C$29</f>
        <v>4099.34542676036</v>
      </c>
      <c r="R31" s="22" t="n">
        <f aca="false">R22*Inputs!$C$29</f>
        <v>4410.48574465147</v>
      </c>
      <c r="S31" s="22" t="n">
        <f aca="false">S22*Inputs!$C$29</f>
        <v>4745.24161267051</v>
      </c>
      <c r="T31" s="22" t="n">
        <f aca="false">T22*Inputs!$C$29</f>
        <v>5105.4054510722</v>
      </c>
      <c r="U31" s="22" t="n">
        <f aca="false">U22*Inputs!$C$29</f>
        <v>5492.90572480859</v>
      </c>
      <c r="V31" s="22" t="n">
        <f aca="false">V22*Inputs!$C$29</f>
        <v>5909.81726932156</v>
      </c>
      <c r="W31" s="22" t="n">
        <f aca="false">W22*Inputs!$C$29</f>
        <v>6358.37240006306</v>
      </c>
      <c r="X31" s="22" t="n">
        <f aca="false">X22*Inputs!$C$29</f>
        <v>6840.97286522785</v>
      </c>
      <c r="Y31" s="22" t="n">
        <f aca="false">Y22*Inputs!$C$29</f>
        <v>7360.20270569864</v>
      </c>
      <c r="Z31" s="22" t="n">
        <f aca="false">Z22*Inputs!$C$29</f>
        <v>7918.84209106117</v>
      </c>
      <c r="AA31" s="22" t="n">
        <f aca="false">AA22*Inputs!$C$29</f>
        <v>8519.88220577271</v>
      </c>
      <c r="AB31" s="22" t="n">
        <f aca="false">AB22*Inputs!$C$29</f>
        <v>9166.54126519086</v>
      </c>
      <c r="AC31" s="22" t="n">
        <f aca="false">AC22*Inputs!$C$29</f>
        <v>9862.28174721884</v>
      </c>
      <c r="AD31" s="22" t="n">
        <f aca="false">AD22*Inputs!$C$29</f>
        <v>10610.8289318328</v>
      </c>
      <c r="AE31" s="22" t="n">
        <f aca="false">AE22*Inputs!$C$29</f>
        <v>11416.1908477589</v>
      </c>
      <c r="AF31" s="22" t="n">
        <f aca="false">AF22*Inputs!$C$29</f>
        <v>12282.6797331038</v>
      </c>
      <c r="AG31" s="22" t="n">
        <f aca="false">AG22*Inputs!$C$29</f>
        <v>13214.9351248463</v>
      </c>
      <c r="AH31" s="22" t="n">
        <f aca="false">AH22*Inputs!$C$29</f>
        <v>14217.9487008222</v>
      </c>
      <c r="AI31" s="22" t="n">
        <f aca="false">AI22*Inputs!$C$29</f>
        <v>15297.0910072146</v>
      </c>
      <c r="AJ31" s="22" t="n">
        <f aca="false">AJ22*Inputs!$C$29</f>
        <v>16458.1402146621</v>
      </c>
      <c r="AK31" s="22" t="n">
        <f aca="false">AK22*Inputs!$C$29</f>
        <v>17707.313056955</v>
      </c>
      <c r="AL31" s="22" t="n">
        <f aca="false">AL22*Inputs!$C$29</f>
        <v>19051.2981179779</v>
      </c>
    </row>
    <row r="32" customFormat="false" ht="15" hidden="false" customHeight="false" outlineLevel="0" collapsed="false">
      <c r="A32" s="19" t="s">
        <v>284</v>
      </c>
      <c r="B32" s="7" t="s">
        <v>209</v>
      </c>
      <c r="C32" s="23" t="n">
        <f aca="false">C25+C30+C31</f>
        <v>16352</v>
      </c>
      <c r="D32" s="23" t="n">
        <f aca="false">D25+D30+D31</f>
        <v>17181.0393330593</v>
      </c>
      <c r="E32" s="23" t="n">
        <f aca="false">E25+E30+E31</f>
        <v>18057.8036218669</v>
      </c>
      <c r="F32" s="23" t="n">
        <f aca="false">F25+F30+F31</f>
        <v>18985.2835342017</v>
      </c>
      <c r="G32" s="23" t="n">
        <f aca="false">G25+G30+G31</f>
        <v>19966.6665001116</v>
      </c>
      <c r="H32" s="23" t="n">
        <f aca="false">H25+H30+H31</f>
        <v>21005.3500017383</v>
      </c>
      <c r="I32" s="23" t="n">
        <f aca="false">I25+I30+I31</f>
        <v>22104.9557738513</v>
      </c>
      <c r="J32" s="23" t="n">
        <f aca="false">J25+J30+J31</f>
        <v>23269.3449780514</v>
      </c>
      <c r="K32" s="23" t="n">
        <f aca="false">K25+K30+K31</f>
        <v>24502.6344179839</v>
      </c>
      <c r="L32" s="23" t="n">
        <f aca="false">L25+L30+L31</f>
        <v>25809.213867586</v>
      </c>
      <c r="M32" s="23" t="n">
        <f aca="false">M25+M30+M31</f>
        <v>27193.7645894102</v>
      </c>
      <c r="N32" s="23" t="n">
        <f aca="false">N25+N30+N31</f>
        <v>28661.2791254257</v>
      </c>
      <c r="O32" s="23" t="n">
        <f aca="false">O25+O30+O31</f>
        <v>30217.0824484438</v>
      </c>
      <c r="P32" s="23" t="n">
        <f aca="false">P25+P30+P31</f>
        <v>31866.8545684525</v>
      </c>
      <c r="Q32" s="23" t="n">
        <f aca="false">Q25+Q30+Q31</f>
        <v>33616.6546947194</v>
      </c>
      <c r="R32" s="23" t="n">
        <f aca="false">R25+R30+R31</f>
        <v>35472.9470615533</v>
      </c>
      <c r="S32" s="23" t="n">
        <f aca="false">S25+S30+S31</f>
        <v>37442.6285331396</v>
      </c>
      <c r="T32" s="23" t="n">
        <f aca="false">T25+T30+T31</f>
        <v>39533.0581109199</v>
      </c>
      <c r="U32" s="23" t="n">
        <f aca="false">U25+U30+U31</f>
        <v>41752.0884755996</v>
      </c>
      <c r="V32" s="23" t="n">
        <f aca="false">V25+V30+V31</f>
        <v>44108.0997050916</v>
      </c>
      <c r="W32" s="23" t="n">
        <f aca="false">W25+W30+W31</f>
        <v>46610.0353195728</v>
      </c>
      <c r="X32" s="23" t="n">
        <f aca="false">X25+X30+X31</f>
        <v>49267.4408153897</v>
      </c>
      <c r="Y32" s="23" t="n">
        <f aca="false">Y25+Y30+Y31</f>
        <v>52090.5048608522</v>
      </c>
      <c r="Z32" s="23" t="n">
        <f aca="false">Z25+Z30+Z31</f>
        <v>55090.1033390526</v>
      </c>
      <c r="AA32" s="23" t="n">
        <f aca="false">AA25+AA30+AA31</f>
        <v>58277.8464357909</v>
      </c>
      <c r="AB32" s="23" t="n">
        <f aca="false">AB25+AB30+AB31</f>
        <v>61666.1289845427</v>
      </c>
      <c r="AC32" s="23" t="n">
        <f aca="false">AC25+AC30+AC31</f>
        <v>65268.1842952364</v>
      </c>
      <c r="AD32" s="23" t="n">
        <f aca="false">AD25+AD30+AD31</f>
        <v>69098.1417094784</v>
      </c>
      <c r="AE32" s="23" t="n">
        <f aca="false">AE25+AE30+AE31</f>
        <v>73171.0881418506</v>
      </c>
      <c r="AF32" s="23" t="n">
        <f aca="false">AF25+AF30+AF31</f>
        <v>77503.1338850905</v>
      </c>
      <c r="AG32" s="23" t="n">
        <f aca="false">AG25+AG30+AG31</f>
        <v>82111.4829764245</v>
      </c>
      <c r="AH32" s="23" t="n">
        <f aca="false">AH25+AH30+AH31</f>
        <v>87014.5084431588</v>
      </c>
      <c r="AI32" s="23" t="n">
        <f aca="false">AI25+AI30+AI31</f>
        <v>92231.8327679297</v>
      </c>
      <c r="AJ32" s="23" t="n">
        <f aca="false">AJ25+AJ30+AJ31</f>
        <v>97784.4139378885</v>
      </c>
      <c r="AK32" s="23" t="n">
        <f aca="false">AK25+AK30+AK31</f>
        <v>103694.637467642</v>
      </c>
      <c r="AL32" s="23" t="n">
        <f aca="false">AL25+AL30+AL31</f>
        <v>109986.414813129</v>
      </c>
    </row>
    <row r="33" customFormat="false" ht="15" hidden="false" customHeight="false" outlineLevel="0" collapsed="false">
      <c r="A33" s="9" t="s">
        <v>285</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row>
    <row r="34" customFormat="false" ht="15" hidden="false" customHeight="false" outlineLevel="0" collapsed="false">
      <c r="A34" s="19" t="s">
        <v>94</v>
      </c>
      <c r="B34" s="7" t="s">
        <v>209</v>
      </c>
      <c r="C34" s="23" t="n">
        <f aca="false">C22-C32</f>
        <v>13088</v>
      </c>
      <c r="D34" s="23" t="n">
        <f aca="false">D22-D32</f>
        <v>14493.4566669407</v>
      </c>
      <c r="E34" s="23" t="n">
        <f aca="false">E22-E32</f>
        <v>16020.7866245331</v>
      </c>
      <c r="F34" s="23" t="n">
        <f aca="false">F22-F32</f>
        <v>17679.8717119</v>
      </c>
      <c r="G34" s="23" t="n">
        <f aca="false">G22-G32</f>
        <v>19481.3740291693</v>
      </c>
      <c r="H34" s="23" t="n">
        <f aca="false">H22-H32</f>
        <v>21436.796803715</v>
      </c>
      <c r="I34" s="23" t="n">
        <f aca="false">I22-I32</f>
        <v>23558.5499741359</v>
      </c>
      <c r="J34" s="23" t="n">
        <f aca="false">J22-J32</f>
        <v>25860.020856208</v>
      </c>
      <c r="K34" s="23" t="n">
        <f aca="false">K22-K32</f>
        <v>28355.6502830958</v>
      </c>
      <c r="L34" s="23" t="n">
        <f aca="false">L22-L32</f>
        <v>31061.0146423057</v>
      </c>
      <c r="M34" s="23" t="n">
        <f aca="false">M22-M32</f>
        <v>33992.9142643823</v>
      </c>
      <c r="N34" s="23" t="n">
        <f aca="false">N22-N32</f>
        <v>37169.4686533696</v>
      </c>
      <c r="O34" s="23" t="n">
        <f aca="false">O22-O32</f>
        <v>40610.219086762</v>
      </c>
      <c r="P34" s="23" t="n">
        <f aca="false">P22-P32</f>
        <v>44336.2391532755</v>
      </c>
      <c r="Q34" s="23" t="n">
        <f aca="false">Q22-Q32</f>
        <v>48370.2538404877</v>
      </c>
      <c r="R34" s="23" t="n">
        <f aca="false">R22-R32</f>
        <v>52736.7678314761</v>
      </c>
      <c r="S34" s="23" t="n">
        <f aca="false">S22-S32</f>
        <v>57462.2037202706</v>
      </c>
      <c r="T34" s="23" t="n">
        <f aca="false">T22-T32</f>
        <v>62575.0509105241</v>
      </c>
      <c r="U34" s="23" t="n">
        <f aca="false">U22-U32</f>
        <v>68106.0260205721</v>
      </c>
      <c r="V34" s="23" t="n">
        <f aca="false">V22-V32</f>
        <v>74088.2456813395</v>
      </c>
      <c r="W34" s="23" t="n">
        <f aca="false">W22-W32</f>
        <v>80557.4126816884</v>
      </c>
      <c r="X34" s="23" t="n">
        <f aca="false">X22-X32</f>
        <v>87552.0164891672</v>
      </c>
      <c r="Y34" s="23" t="n">
        <f aca="false">Y22-Y32</f>
        <v>95113.5492531206</v>
      </c>
      <c r="Z34" s="23" t="n">
        <f aca="false">Z22-Z32</f>
        <v>103286.738482171</v>
      </c>
      <c r="AA34" s="23" t="n">
        <f aca="false">AA22-AA32</f>
        <v>112119.797679663</v>
      </c>
      <c r="AB34" s="23" t="n">
        <f aca="false">AB22-AB32</f>
        <v>121664.696319274</v>
      </c>
      <c r="AC34" s="23" t="n">
        <f aca="false">AC22-AC32</f>
        <v>131977.45064914</v>
      </c>
      <c r="AD34" s="23" t="n">
        <f aca="false">AD22-AD32</f>
        <v>143118.436927177</v>
      </c>
      <c r="AE34" s="23" t="n">
        <f aca="false">AE22-AE32</f>
        <v>155152.728813327</v>
      </c>
      <c r="AF34" s="23" t="n">
        <f aca="false">AF22-AF32</f>
        <v>168150.460776985</v>
      </c>
      <c r="AG34" s="23" t="n">
        <f aca="false">AG22-AG32</f>
        <v>182187.219520502</v>
      </c>
      <c r="AH34" s="23" t="n">
        <f aca="false">AH22-AH32</f>
        <v>197344.465573284</v>
      </c>
      <c r="AI34" s="23" t="n">
        <f aca="false">AI22-AI32</f>
        <v>213709.987376362</v>
      </c>
      <c r="AJ34" s="23" t="n">
        <f aca="false">AJ22-AJ32</f>
        <v>231378.390355354</v>
      </c>
      <c r="AK34" s="23" t="n">
        <f aca="false">AK22-AK32</f>
        <v>250451.623671458</v>
      </c>
      <c r="AL34" s="23" t="n">
        <f aca="false">AL22-AL32</f>
        <v>271039.547546429</v>
      </c>
    </row>
    <row r="35" customFormat="false" ht="15" hidden="false" customHeight="false" outlineLevel="0" collapsed="false">
      <c r="A35" s="7" t="s">
        <v>286</v>
      </c>
      <c r="B35" s="7" t="s">
        <v>212</v>
      </c>
      <c r="C35" s="26" t="n">
        <f aca="false">IF(C22=0,0,C34/C22)</f>
        <v>0.444565217391304</v>
      </c>
      <c r="D35" s="26" t="n">
        <f aca="false">IF(D22=0,0,D34/D22)</f>
        <v>0.457574973472056</v>
      </c>
      <c r="E35" s="26" t="n">
        <f aca="false">IF(E22=0,0,E34/E22)</f>
        <v>0.470112950937737</v>
      </c>
      <c r="F35" s="26" t="n">
        <f aca="false">IF(F22=0,0,F34/F22)</f>
        <v>0.482198195895537</v>
      </c>
      <c r="G35" s="26" t="n">
        <f aca="false">IF(G22=0,0,G34/G22)</f>
        <v>0.493848966077515</v>
      </c>
      <c r="H35" s="26" t="n">
        <f aca="false">IF(H22=0,0,H34/H22)</f>
        <v>0.505082763649472</v>
      </c>
      <c r="I35" s="26" t="n">
        <f aca="false">IF(I22=0,0,I34/I22)</f>
        <v>0.515916366652911</v>
      </c>
      <c r="J35" s="26" t="n">
        <f aca="false">IF(J22=0,0,J34/J22)</f>
        <v>0.526365859137042</v>
      </c>
      <c r="K35" s="26" t="n">
        <f aca="false">IF(K22=0,0,K34/K22)</f>
        <v>0.536446660035426</v>
      </c>
      <c r="L35" s="26" t="n">
        <f aca="false">IF(L22=0,0,L34/L22)</f>
        <v>0.546173550839577</v>
      </c>
      <c r="M35" s="26" t="n">
        <f aca="false">IF(M22=0,0,M34/M22)</f>
        <v>0.555560702119647</v>
      </c>
      <c r="N35" s="26" t="n">
        <f aca="false">IF(N22=0,0,N34/N22)</f>
        <v>0.564621698940236</v>
      </c>
      <c r="O35" s="26" t="n">
        <f aca="false">IF(O22=0,0,O34/O22)</f>
        <v>0.573369565217391</v>
      </c>
      <c r="P35" s="26" t="n">
        <f aca="false">IF(P22=0,0,P34/P22)</f>
        <v>0.581816787060888</v>
      </c>
      <c r="Q35" s="26" t="n">
        <f aca="false">IF(Q22=0,0,Q34/Q22)</f>
        <v>0.589975335144102</v>
      </c>
      <c r="R35" s="26" t="n">
        <f aca="false">IF(R22=0,0,R34/R22)</f>
        <v>0.597856686141988</v>
      </c>
      <c r="S35" s="26" t="n">
        <f aca="false">IF(S22=0,0,S34/S22)</f>
        <v>0.605471843275987</v>
      </c>
      <c r="T35" s="26" t="n">
        <f aca="false">IF(T22=0,0,T34/T22)</f>
        <v>0.612831356003102</v>
      </c>
      <c r="U35" s="26" t="n">
        <f aca="false">IF(U22=0,0,U34/U22)</f>
        <v>0.61994533888478</v>
      </c>
      <c r="V35" s="26" t="n">
        <f aca="false">IF(V22=0,0,V34/V22)</f>
        <v>0.626823489669799</v>
      </c>
      <c r="W35" s="26" t="n">
        <f aca="false">IF(W22=0,0,W34/W22)</f>
        <v>0.633475106623901</v>
      </c>
      <c r="X35" s="26" t="n">
        <f aca="false">IF(X22=0,0,X34/X22)</f>
        <v>0.639909105137572</v>
      </c>
      <c r="Y35" s="26" t="n">
        <f aca="false">IF(Y22=0,0,Y34/Y22)</f>
        <v>0.646134033642028</v>
      </c>
      <c r="Z35" s="26" t="n">
        <f aca="false">IF(Z22=0,0,Z34/Z22)</f>
        <v>0.652158088862268</v>
      </c>
      <c r="AA35" s="26" t="n">
        <f aca="false">IF(AA22=0,0,AA34/AA22)</f>
        <v>0.657989130434783</v>
      </c>
      <c r="AB35" s="26" t="n">
        <f aca="false">IF(AB22=0,0,AB34/AB22)</f>
        <v>0.663634694916422</v>
      </c>
      <c r="AC35" s="26" t="n">
        <f aca="false">IF(AC22=0,0,AC34/AC22)</f>
        <v>0.669102009209776</v>
      </c>
      <c r="AD35" s="26" t="n">
        <f aca="false">IF(AD22=0,0,AD34/AD22)</f>
        <v>0.674398003429392</v>
      </c>
      <c r="AE35" s="26" t="n">
        <f aca="false">IF(AE22=0,0,AE34/AE22)</f>
        <v>0.679529323232123</v>
      </c>
      <c r="AF35" s="26" t="n">
        <f aca="false">IF(AF22=0,0,AF34/AF22)</f>
        <v>0.684502341633938</v>
      </c>
      <c r="AG35" s="26" t="n">
        <f aca="false">IF(AG22=0,0,AG34/AG22)</f>
        <v>0.689323170334598</v>
      </c>
      <c r="AH35" s="26" t="n">
        <f aca="false">IF(AH22=0,0,AH34/AH22)</f>
        <v>0.693997670570695</v>
      </c>
      <c r="AI35" s="26" t="n">
        <f aca="false">IF(AI22=0,0,AI34/AI22)</f>
        <v>0.698531463516722</v>
      </c>
      <c r="AJ35" s="26" t="n">
        <f aca="false">IF(AJ22=0,0,AJ34/AJ22)</f>
        <v>0.702929940252986</v>
      </c>
      <c r="AK35" s="26" t="n">
        <f aca="false">IF(AK22=0,0,AK34/AK22)</f>
        <v>0.707198271318433</v>
      </c>
      <c r="AL35" s="26" t="n">
        <f aca="false">IF(AL22=0,0,AL34/AL22)</f>
        <v>0.711341415865675</v>
      </c>
    </row>
    <row r="36" customFormat="false" ht="15" hidden="false" customHeight="false" outlineLevel="0" collapsed="false">
      <c r="A36" s="19" t="s">
        <v>287</v>
      </c>
      <c r="B36" s="7" t="s">
        <v>209</v>
      </c>
      <c r="C36" s="23" t="n">
        <f aca="false">SUM($C34:C34)</f>
        <v>13088</v>
      </c>
      <c r="D36" s="23" t="n">
        <f aca="false">SUM($C34:D34)</f>
        <v>27581.4566669407</v>
      </c>
      <c r="E36" s="23" t="n">
        <f aca="false">SUM($C34:E34)</f>
        <v>43602.2432914738</v>
      </c>
      <c r="F36" s="23" t="n">
        <f aca="false">SUM($C34:F34)</f>
        <v>61282.1150033739</v>
      </c>
      <c r="G36" s="23" t="n">
        <f aca="false">SUM($C34:G34)</f>
        <v>80763.4890325431</v>
      </c>
      <c r="H36" s="23" t="n">
        <f aca="false">SUM($C34:H34)</f>
        <v>102200.285836258</v>
      </c>
      <c r="I36" s="23" t="n">
        <f aca="false">SUM($C34:I34)</f>
        <v>125758.835810394</v>
      </c>
      <c r="J36" s="23" t="n">
        <f aca="false">SUM($C34:J34)</f>
        <v>151618.856666602</v>
      </c>
      <c r="K36" s="23" t="n">
        <f aca="false">SUM($C34:K34)</f>
        <v>179974.506949698</v>
      </c>
      <c r="L36" s="23" t="n">
        <f aca="false">SUM($C34:L34)</f>
        <v>211035.521592003</v>
      </c>
      <c r="M36" s="23" t="n">
        <f aca="false">SUM($C34:M34)</f>
        <v>245028.435856386</v>
      </c>
      <c r="N36" s="23" t="n">
        <f aca="false">SUM($C34:N34)</f>
        <v>282197.904509755</v>
      </c>
      <c r="O36" s="23" t="n">
        <f aca="false">SUM($C34:O34)</f>
        <v>322808.123596517</v>
      </c>
      <c r="P36" s="23" t="n">
        <f aca="false">SUM($C34:P34)</f>
        <v>367144.362749793</v>
      </c>
      <c r="Q36" s="23" t="n">
        <f aca="false">SUM($C34:Q34)</f>
        <v>415514.616590281</v>
      </c>
      <c r="R36" s="23" t="n">
        <f aca="false">SUM($C34:R34)</f>
        <v>468251.384421757</v>
      </c>
      <c r="S36" s="23" t="n">
        <f aca="false">SUM($C34:S34)</f>
        <v>525713.588142027</v>
      </c>
      <c r="T36" s="23" t="n">
        <f aca="false">SUM($C34:T34)</f>
        <v>588288.639052551</v>
      </c>
      <c r="U36" s="23" t="n">
        <f aca="false">SUM($C34:U34)</f>
        <v>656394.665073123</v>
      </c>
      <c r="V36" s="23" t="n">
        <f aca="false">SUM($C34:V34)</f>
        <v>730482.910754463</v>
      </c>
      <c r="W36" s="23" t="n">
        <f aca="false">SUM($C34:W34)</f>
        <v>811040.323436151</v>
      </c>
      <c r="X36" s="23" t="n">
        <f aca="false">SUM($C34:X34)</f>
        <v>898592.339925319</v>
      </c>
      <c r="Y36" s="23" t="n">
        <f aca="false">SUM($C34:Y34)</f>
        <v>993705.889178439</v>
      </c>
      <c r="Z36" s="23" t="n">
        <f aca="false">SUM($C34:Z34)</f>
        <v>1096992.62766061</v>
      </c>
      <c r="AA36" s="23" t="n">
        <f aca="false">SUM($C34:AA34)</f>
        <v>1209112.42534027</v>
      </c>
      <c r="AB36" s="23" t="n">
        <f aca="false">SUM($C34:AB34)</f>
        <v>1330777.12165955</v>
      </c>
      <c r="AC36" s="23" t="n">
        <f aca="false">SUM($C34:AC34)</f>
        <v>1462754.57230869</v>
      </c>
      <c r="AD36" s="23" t="n">
        <f aca="false">SUM($C34:AD34)</f>
        <v>1605873.00923586</v>
      </c>
      <c r="AE36" s="23" t="n">
        <f aca="false">SUM($C34:AE34)</f>
        <v>1761025.73804919</v>
      </c>
      <c r="AF36" s="23" t="n">
        <f aca="false">SUM($C34:AF34)</f>
        <v>1929176.19882618</v>
      </c>
      <c r="AG36" s="23" t="n">
        <f aca="false">SUM($C34:AG34)</f>
        <v>2111363.41834668</v>
      </c>
      <c r="AH36" s="23" t="n">
        <f aca="false">SUM($C34:AH34)</f>
        <v>2308707.88391996</v>
      </c>
      <c r="AI36" s="23" t="n">
        <f aca="false">SUM($C34:AI34)</f>
        <v>2522417.87129632</v>
      </c>
      <c r="AJ36" s="23" t="n">
        <f aca="false">SUM($C34:AJ34)</f>
        <v>2753796.26165168</v>
      </c>
      <c r="AK36" s="23" t="n">
        <f aca="false">SUM($C34:AK34)</f>
        <v>3004247.88532314</v>
      </c>
      <c r="AL36" s="23" t="n">
        <f aca="false">SUM($C34:AL34)</f>
        <v>3275287.43286957</v>
      </c>
    </row>
    <row r="37" customFormat="false" ht="15" hidden="false" customHeight="false" outlineLevel="0" collapsed="false">
      <c r="A37" s="19" t="s">
        <v>288</v>
      </c>
      <c r="B37" s="7" t="s">
        <v>209</v>
      </c>
      <c r="C37" s="23" t="n">
        <f aca="false">C36-Inputs!$C$31</f>
        <v>-736912</v>
      </c>
      <c r="D37" s="23" t="n">
        <f aca="false">D36-Inputs!$C$31</f>
        <v>-722418.543333059</v>
      </c>
      <c r="E37" s="23" t="n">
        <f aca="false">E36-Inputs!$C$31</f>
        <v>-706397.756708526</v>
      </c>
      <c r="F37" s="23" t="n">
        <f aca="false">F36-Inputs!$C$31</f>
        <v>-688717.884996626</v>
      </c>
      <c r="G37" s="23" t="n">
        <f aca="false">G36-Inputs!$C$31</f>
        <v>-669236.510967457</v>
      </c>
      <c r="H37" s="23" t="n">
        <f aca="false">H36-Inputs!$C$31</f>
        <v>-647799.714163742</v>
      </c>
      <c r="I37" s="23" t="n">
        <f aca="false">I36-Inputs!$C$31</f>
        <v>-624241.164189606</v>
      </c>
      <c r="J37" s="23" t="n">
        <f aca="false">J36-Inputs!$C$31</f>
        <v>-598381.143333398</v>
      </c>
      <c r="K37" s="23" t="n">
        <f aca="false">K36-Inputs!$C$31</f>
        <v>-570025.493050302</v>
      </c>
      <c r="L37" s="23" t="n">
        <f aca="false">L36-Inputs!$C$31</f>
        <v>-538964.478407997</v>
      </c>
      <c r="M37" s="23" t="n">
        <f aca="false">M36-Inputs!$C$31</f>
        <v>-504971.564143614</v>
      </c>
      <c r="N37" s="23" t="n">
        <f aca="false">N36-Inputs!$C$31</f>
        <v>-467802.095490245</v>
      </c>
      <c r="O37" s="23" t="n">
        <f aca="false">O36-Inputs!$C$31</f>
        <v>-427191.876403483</v>
      </c>
      <c r="P37" s="23" t="n">
        <f aca="false">P36-Inputs!$C$31</f>
        <v>-382855.637250207</v>
      </c>
      <c r="Q37" s="23" t="n">
        <f aca="false">Q36-Inputs!$C$31</f>
        <v>-334485.38340972</v>
      </c>
      <c r="R37" s="23" t="n">
        <f aca="false">R36-Inputs!$C$31</f>
        <v>-281748.615578243</v>
      </c>
      <c r="S37" s="23" t="n">
        <f aca="false">S36-Inputs!$C$31</f>
        <v>-224286.411857973</v>
      </c>
      <c r="T37" s="23" t="n">
        <f aca="false">T36-Inputs!$C$31</f>
        <v>-161711.360947449</v>
      </c>
      <c r="U37" s="23" t="n">
        <f aca="false">U36-Inputs!$C$31</f>
        <v>-93605.3349268767</v>
      </c>
      <c r="V37" s="23" t="n">
        <f aca="false">V36-Inputs!$C$31</f>
        <v>-19517.0892455372</v>
      </c>
      <c r="W37" s="23" t="n">
        <f aca="false">W36-Inputs!$C$31</f>
        <v>61040.3234361511</v>
      </c>
      <c r="X37" s="23" t="n">
        <f aca="false">X36-Inputs!$C$31</f>
        <v>148592.339925319</v>
      </c>
      <c r="Y37" s="23" t="n">
        <f aca="false">Y36-Inputs!$C$31</f>
        <v>243705.889178439</v>
      </c>
      <c r="Z37" s="23" t="n">
        <f aca="false">Z36-Inputs!$C$31</f>
        <v>346992.62766061</v>
      </c>
      <c r="AA37" s="23" t="n">
        <f aca="false">AA36-Inputs!$C$31</f>
        <v>459112.425340273</v>
      </c>
      <c r="AB37" s="23" t="n">
        <f aca="false">AB36-Inputs!$C$31</f>
        <v>580777.121659547</v>
      </c>
      <c r="AC37" s="23" t="n">
        <f aca="false">AC36-Inputs!$C$31</f>
        <v>712754.572308688</v>
      </c>
      <c r="AD37" s="23" t="n">
        <f aca="false">AD36-Inputs!$C$31</f>
        <v>855873.009235865</v>
      </c>
      <c r="AE37" s="23" t="n">
        <f aca="false">AE36-Inputs!$C$31</f>
        <v>1011025.73804919</v>
      </c>
      <c r="AF37" s="23" t="n">
        <f aca="false">AF36-Inputs!$C$31</f>
        <v>1179176.19882618</v>
      </c>
      <c r="AG37" s="23" t="n">
        <f aca="false">AG36-Inputs!$C$31</f>
        <v>1361363.41834668</v>
      </c>
      <c r="AH37" s="23" t="n">
        <f aca="false">AH36-Inputs!$C$31</f>
        <v>1558707.88391996</v>
      </c>
      <c r="AI37" s="23" t="n">
        <f aca="false">AI36-Inputs!$C$31</f>
        <v>1772417.87129632</v>
      </c>
      <c r="AJ37" s="23" t="n">
        <f aca="false">AJ36-Inputs!$C$31</f>
        <v>2003796.26165168</v>
      </c>
      <c r="AK37" s="23" t="n">
        <f aca="false">AK36-Inputs!$C$31</f>
        <v>2254247.88532314</v>
      </c>
      <c r="AL37" s="23" t="n">
        <f aca="false">AL36-Inputs!$C$31</f>
        <v>2525287.43286957</v>
      </c>
    </row>
    <row r="38" customFormat="false" ht="15" hidden="false" customHeight="false" outlineLevel="0" collapsed="false">
      <c r="A38" s="7" t="s">
        <v>289</v>
      </c>
      <c r="B38" s="7" t="s">
        <v>290</v>
      </c>
      <c r="C38" s="27" t="n">
        <f aca="false">IF(C37&gt;=0,1,0)</f>
        <v>0</v>
      </c>
      <c r="D38" s="27" t="n">
        <f aca="false">IF(D37&gt;=0,1,0)</f>
        <v>0</v>
      </c>
      <c r="E38" s="27" t="n">
        <f aca="false">IF(E37&gt;=0,1,0)</f>
        <v>0</v>
      </c>
      <c r="F38" s="27" t="n">
        <f aca="false">IF(F37&gt;=0,1,0)</f>
        <v>0</v>
      </c>
      <c r="G38" s="27" t="n">
        <f aca="false">IF(G37&gt;=0,1,0)</f>
        <v>0</v>
      </c>
      <c r="H38" s="27" t="n">
        <f aca="false">IF(H37&gt;=0,1,0)</f>
        <v>0</v>
      </c>
      <c r="I38" s="27" t="n">
        <f aca="false">IF(I37&gt;=0,1,0)</f>
        <v>0</v>
      </c>
      <c r="J38" s="27" t="n">
        <f aca="false">IF(J37&gt;=0,1,0)</f>
        <v>0</v>
      </c>
      <c r="K38" s="27" t="n">
        <f aca="false">IF(K37&gt;=0,1,0)</f>
        <v>0</v>
      </c>
      <c r="L38" s="27" t="n">
        <f aca="false">IF(L37&gt;=0,1,0)</f>
        <v>0</v>
      </c>
      <c r="M38" s="27" t="n">
        <f aca="false">IF(M37&gt;=0,1,0)</f>
        <v>0</v>
      </c>
      <c r="N38" s="27" t="n">
        <f aca="false">IF(N37&gt;=0,1,0)</f>
        <v>0</v>
      </c>
      <c r="O38" s="27" t="n">
        <f aca="false">IF(O37&gt;=0,1,0)</f>
        <v>0</v>
      </c>
      <c r="P38" s="27" t="n">
        <f aca="false">IF(P37&gt;=0,1,0)</f>
        <v>0</v>
      </c>
      <c r="Q38" s="27" t="n">
        <f aca="false">IF(Q37&gt;=0,1,0)</f>
        <v>0</v>
      </c>
      <c r="R38" s="27" t="n">
        <f aca="false">IF(R37&gt;=0,1,0)</f>
        <v>0</v>
      </c>
      <c r="S38" s="27" t="n">
        <f aca="false">IF(S37&gt;=0,1,0)</f>
        <v>0</v>
      </c>
      <c r="T38" s="27" t="n">
        <f aca="false">IF(T37&gt;=0,1,0)</f>
        <v>0</v>
      </c>
      <c r="U38" s="27" t="n">
        <f aca="false">IF(U37&gt;=0,1,0)</f>
        <v>0</v>
      </c>
      <c r="V38" s="27" t="n">
        <f aca="false">IF(V37&gt;=0,1,0)</f>
        <v>0</v>
      </c>
      <c r="W38" s="27" t="n">
        <f aca="false">IF(W37&gt;=0,1,0)</f>
        <v>1</v>
      </c>
      <c r="X38" s="27" t="n">
        <f aca="false">IF(X37&gt;=0,1,0)</f>
        <v>1</v>
      </c>
      <c r="Y38" s="27" t="n">
        <f aca="false">IF(Y37&gt;=0,1,0)</f>
        <v>1</v>
      </c>
      <c r="Z38" s="27" t="n">
        <f aca="false">IF(Z37&gt;=0,1,0)</f>
        <v>1</v>
      </c>
      <c r="AA38" s="27" t="n">
        <f aca="false">IF(AA37&gt;=0,1,0)</f>
        <v>1</v>
      </c>
      <c r="AB38" s="27" t="n">
        <f aca="false">IF(AB37&gt;=0,1,0)</f>
        <v>1</v>
      </c>
      <c r="AC38" s="27" t="n">
        <f aca="false">IF(AC37&gt;=0,1,0)</f>
        <v>1</v>
      </c>
      <c r="AD38" s="27" t="n">
        <f aca="false">IF(AD37&gt;=0,1,0)</f>
        <v>1</v>
      </c>
      <c r="AE38" s="27" t="n">
        <f aca="false">IF(AE37&gt;=0,1,0)</f>
        <v>1</v>
      </c>
      <c r="AF38" s="27" t="n">
        <f aca="false">IF(AF37&gt;=0,1,0)</f>
        <v>1</v>
      </c>
      <c r="AG38" s="27" t="n">
        <f aca="false">IF(AG37&gt;=0,1,0)</f>
        <v>1</v>
      </c>
      <c r="AH38" s="27" t="n">
        <f aca="false">IF(AH37&gt;=0,1,0)</f>
        <v>1</v>
      </c>
      <c r="AI38" s="27" t="n">
        <f aca="false">IF(AI37&gt;=0,1,0)</f>
        <v>1</v>
      </c>
      <c r="AJ38" s="27" t="n">
        <f aca="false">IF(AJ37&gt;=0,1,0)</f>
        <v>1</v>
      </c>
      <c r="AK38" s="27" t="n">
        <f aca="false">IF(AK37&gt;=0,1,0)</f>
        <v>1</v>
      </c>
      <c r="AL38" s="27" t="n">
        <f aca="false">IF(AL37&gt;=0,1,0)</f>
        <v>1</v>
      </c>
    </row>
    <row r="39" customFormat="false" ht="15" hidden="false" customHeight="false" outlineLevel="0" collapsed="false">
      <c r="A39" s="9" t="s">
        <v>291</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row>
    <row r="40" customFormat="false" ht="15" hidden="false" customHeight="false" outlineLevel="0" collapsed="false">
      <c r="A40" s="7" t="s">
        <v>292</v>
      </c>
      <c r="B40" s="7" t="s">
        <v>209</v>
      </c>
      <c r="C40" s="28" t="n">
        <f aca="false">IF(C13=0,0,C22/(C13/1000))</f>
        <v>73.6</v>
      </c>
      <c r="D40" s="28" t="n">
        <f aca="false">IF(D13=0,0,D22/(D13/1000))</f>
        <v>73.6</v>
      </c>
      <c r="E40" s="28" t="n">
        <f aca="false">IF(E13=0,0,E22/(E13/1000))</f>
        <v>73.6</v>
      </c>
      <c r="F40" s="28" t="n">
        <f aca="false">IF(F13=0,0,F22/(F13/1000))</f>
        <v>73.6</v>
      </c>
      <c r="G40" s="28" t="n">
        <f aca="false">IF(G13=0,0,G22/(G13/1000))</f>
        <v>73.6</v>
      </c>
      <c r="H40" s="28" t="n">
        <f aca="false">IF(H13=0,0,H22/(H13/1000))</f>
        <v>73.6</v>
      </c>
      <c r="I40" s="28" t="n">
        <f aca="false">IF(I13=0,0,I22/(I13/1000))</f>
        <v>73.6</v>
      </c>
      <c r="J40" s="28" t="n">
        <f aca="false">IF(J13=0,0,J22/(J13/1000))</f>
        <v>73.6</v>
      </c>
      <c r="K40" s="28" t="n">
        <f aca="false">IF(K13=0,0,K22/(K13/1000))</f>
        <v>73.6</v>
      </c>
      <c r="L40" s="28" t="n">
        <f aca="false">IF(L13=0,0,L22/(L13/1000))</f>
        <v>73.6</v>
      </c>
      <c r="M40" s="28" t="n">
        <f aca="false">IF(M13=0,0,M22/(M13/1000))</f>
        <v>73.6</v>
      </c>
      <c r="N40" s="28" t="n">
        <f aca="false">IF(N13=0,0,N22/(N13/1000))</f>
        <v>73.6</v>
      </c>
      <c r="O40" s="28" t="n">
        <f aca="false">IF(O13=0,0,O22/(O13/1000))</f>
        <v>73.6</v>
      </c>
      <c r="P40" s="28" t="n">
        <f aca="false">IF(P13=0,0,P22/(P13/1000))</f>
        <v>73.6</v>
      </c>
      <c r="Q40" s="28" t="n">
        <f aca="false">IF(Q13=0,0,Q22/(Q13/1000))</f>
        <v>73.6</v>
      </c>
      <c r="R40" s="28" t="n">
        <f aca="false">IF(R13=0,0,R22/(R13/1000))</f>
        <v>73.6</v>
      </c>
      <c r="S40" s="28" t="n">
        <f aca="false">IF(S13=0,0,S22/(S13/1000))</f>
        <v>73.6</v>
      </c>
      <c r="T40" s="28" t="n">
        <f aca="false">IF(T13=0,0,T22/(T13/1000))</f>
        <v>73.6</v>
      </c>
      <c r="U40" s="28" t="n">
        <f aca="false">IF(U13=0,0,U22/(U13/1000))</f>
        <v>73.6</v>
      </c>
      <c r="V40" s="28" t="n">
        <f aca="false">IF(V13=0,0,V22/(V13/1000))</f>
        <v>73.6</v>
      </c>
      <c r="W40" s="28" t="n">
        <f aca="false">IF(W13=0,0,W22/(W13/1000))</f>
        <v>73.6</v>
      </c>
      <c r="X40" s="28" t="n">
        <f aca="false">IF(X13=0,0,X22/(X13/1000))</f>
        <v>73.6</v>
      </c>
      <c r="Y40" s="28" t="n">
        <f aca="false">IF(Y13=0,0,Y22/(Y13/1000))</f>
        <v>73.6</v>
      </c>
      <c r="Z40" s="28" t="n">
        <f aca="false">IF(Z13=0,0,Z22/(Z13/1000))</f>
        <v>73.6</v>
      </c>
      <c r="AA40" s="28" t="n">
        <f aca="false">IF(AA13=0,0,AA22/(AA13/1000))</f>
        <v>73.6</v>
      </c>
      <c r="AB40" s="28" t="n">
        <f aca="false">IF(AB13=0,0,AB22/(AB13/1000))</f>
        <v>73.6</v>
      </c>
      <c r="AC40" s="28" t="n">
        <f aca="false">IF(AC13=0,0,AC22/(AC13/1000))</f>
        <v>73.6</v>
      </c>
      <c r="AD40" s="28" t="n">
        <f aca="false">IF(AD13=0,0,AD22/(AD13/1000))</f>
        <v>73.6</v>
      </c>
      <c r="AE40" s="28" t="n">
        <f aca="false">IF(AE13=0,0,AE22/(AE13/1000))</f>
        <v>73.6</v>
      </c>
      <c r="AF40" s="28" t="n">
        <f aca="false">IF(AF13=0,0,AF22/(AF13/1000))</f>
        <v>73.6</v>
      </c>
      <c r="AG40" s="28" t="n">
        <f aca="false">IF(AG13=0,0,AG22/(AG13/1000))</f>
        <v>73.6</v>
      </c>
      <c r="AH40" s="28" t="n">
        <f aca="false">IF(AH13=0,0,AH22/(AH13/1000))</f>
        <v>73.6</v>
      </c>
      <c r="AI40" s="28" t="n">
        <f aca="false">IF(AI13=0,0,AI22/(AI13/1000))</f>
        <v>73.6</v>
      </c>
      <c r="AJ40" s="28" t="n">
        <f aca="false">IF(AJ13=0,0,AJ22/(AJ13/1000))</f>
        <v>73.6</v>
      </c>
      <c r="AK40" s="28" t="n">
        <f aca="false">IF(AK13=0,0,AK22/(AK13/1000))</f>
        <v>73.6</v>
      </c>
      <c r="AL40" s="28" t="n">
        <f aca="false">IF(AL13=0,0,AL22/(AL13/1000))</f>
        <v>73.6</v>
      </c>
    </row>
    <row r="41" customFormat="false" ht="15" hidden="false" customHeight="false" outlineLevel="0" collapsed="false">
      <c r="A41" s="7" t="s">
        <v>293</v>
      </c>
      <c r="B41" s="7" t="s">
        <v>209</v>
      </c>
      <c r="C41" s="28" t="n">
        <f aca="false">IF(C13=0,0,C32/(C13/1000))</f>
        <v>40.88</v>
      </c>
      <c r="D41" s="28" t="n">
        <f aca="false">IF(D13=0,0,D32/(D13/1000))</f>
        <v>39.9224819524567</v>
      </c>
      <c r="E41" s="28" t="n">
        <f aca="false">IF(E13=0,0,E32/(E13/1000))</f>
        <v>38.9996868109826</v>
      </c>
      <c r="F41" s="28" t="n">
        <f aca="false">IF(F13=0,0,F32/(F13/1000))</f>
        <v>38.1102127820885</v>
      </c>
      <c r="G41" s="28" t="n">
        <f aca="false">IF(G13=0,0,G32/(G13/1000))</f>
        <v>37.2527160966949</v>
      </c>
      <c r="H41" s="28" t="n">
        <f aca="false">IF(H13=0,0,H32/(H13/1000))</f>
        <v>36.4259085953989</v>
      </c>
      <c r="I41" s="28" t="n">
        <f aca="false">IF(I13=0,0,I32/(I13/1000))</f>
        <v>35.6285554143457</v>
      </c>
      <c r="J41" s="28" t="n">
        <f aca="false">IF(J13=0,0,J32/(J13/1000))</f>
        <v>34.8594727675137</v>
      </c>
      <c r="K41" s="28" t="n">
        <f aca="false">IF(K13=0,0,K32/(K13/1000))</f>
        <v>34.1175258213927</v>
      </c>
      <c r="L41" s="28" t="n">
        <f aca="false">IF(L13=0,0,L32/(L13/1000))</f>
        <v>33.4016266582071</v>
      </c>
      <c r="M41" s="28" t="n">
        <f aca="false">IF(M13=0,0,M32/(M13/1000))</f>
        <v>32.710732323994</v>
      </c>
      <c r="N41" s="28" t="n">
        <f aca="false">IF(N13=0,0,N32/(N13/1000))</f>
        <v>32.0438429579986</v>
      </c>
      <c r="O41" s="28" t="n">
        <f aca="false">IF(O13=0,0,O32/(O13/1000))</f>
        <v>31.4</v>
      </c>
      <c r="P41" s="28" t="n">
        <f aca="false">IF(P13=0,0,P32/(P13/1000))</f>
        <v>30.7782844723187</v>
      </c>
      <c r="Q41" s="28" t="n">
        <f aca="false">IF(Q13=0,0,Q32/(Q13/1000))</f>
        <v>30.1778153333941</v>
      </c>
      <c r="R41" s="28" t="n">
        <f aca="false">IF(R13=0,0,R32/(R13/1000))</f>
        <v>29.5977478999497</v>
      </c>
      <c r="S41" s="28" t="n">
        <f aca="false">IF(S13=0,0,S32/(S13/1000))</f>
        <v>29.0372723348874</v>
      </c>
      <c r="T41" s="28" t="n">
        <f aca="false">IF(T13=0,0,T32/(T13/1000))</f>
        <v>28.4956121981717</v>
      </c>
      <c r="U41" s="28" t="n">
        <f aca="false">IF(U13=0,0,U32/(U13/1000))</f>
        <v>27.9720230580802</v>
      </c>
      <c r="V41" s="28" t="n">
        <f aca="false">IF(V13=0,0,V32/(V13/1000))</f>
        <v>27.4657911603028</v>
      </c>
      <c r="W41" s="28" t="n">
        <f aca="false">IF(W13=0,0,W32/(W13/1000))</f>
        <v>26.9762321524809</v>
      </c>
      <c r="X41" s="28" t="n">
        <f aca="false">IF(X13=0,0,X32/(X13/1000))</f>
        <v>26.5026898618747</v>
      </c>
      <c r="Y41" s="28" t="n">
        <f aca="false">IF(Y13=0,0,Y32/(Y13/1000))</f>
        <v>26.0445351239467</v>
      </c>
      <c r="Z41" s="28" t="n">
        <f aca="false">IF(Z13=0,0,Z32/(Z13/1000))</f>
        <v>25.6011646597371</v>
      </c>
      <c r="AA41" s="28" t="n">
        <f aca="false">IF(AA13=0,0,AA32/(AA13/1000))</f>
        <v>25.172</v>
      </c>
      <c r="AB41" s="28" t="n">
        <f aca="false">IF(AB13=0,0,AB32/(AB13/1000))</f>
        <v>24.7564864541514</v>
      </c>
      <c r="AC41" s="28" t="n">
        <f aca="false">IF(AC13=0,0,AC32/(AC13/1000))</f>
        <v>24.3540921221605</v>
      </c>
      <c r="AD41" s="28" t="n">
        <f aca="false">IF(AD13=0,0,AD32/(AD13/1000))</f>
        <v>23.9643069475968</v>
      </c>
      <c r="AE41" s="28" t="n">
        <f aca="false">IF(AE13=0,0,AE32/(AE13/1000))</f>
        <v>23.5866418101158</v>
      </c>
      <c r="AF41" s="28" t="n">
        <f aca="false">IF(AF13=0,0,AF32/(AF13/1000))</f>
        <v>23.2206276557422</v>
      </c>
      <c r="AG41" s="28" t="n">
        <f aca="false">IF(AG13=0,0,AG32/(AG13/1000))</f>
        <v>22.8658146633736</v>
      </c>
      <c r="AH41" s="28" t="n">
        <f aca="false">IF(AH13=0,0,AH32/(AH13/1000))</f>
        <v>22.5217714459968</v>
      </c>
      <c r="AI41" s="28" t="n">
        <f aca="false">IF(AI13=0,0,AI32/(AI13/1000))</f>
        <v>22.1880842851692</v>
      </c>
      <c r="AJ41" s="28" t="n">
        <f aca="false">IF(AJ13=0,0,AJ32/(AJ13/1000))</f>
        <v>21.8643563973803</v>
      </c>
      <c r="AK41" s="28" t="n">
        <f aca="false">IF(AK13=0,0,AK32/(AK13/1000))</f>
        <v>21.5502072309633</v>
      </c>
      <c r="AL41" s="28" t="n">
        <f aca="false">IF(AL13=0,0,AL32/(AL13/1000))</f>
        <v>21.2452717922864</v>
      </c>
    </row>
    <row r="42" customFormat="false" ht="15" hidden="false" customHeight="false" outlineLevel="0" collapsed="false">
      <c r="A42" s="7" t="s">
        <v>294</v>
      </c>
      <c r="B42" s="7" t="s">
        <v>209</v>
      </c>
      <c r="C42" s="28" t="n">
        <f aca="false">IF(C13=0,0,C30/(C13/1000))</f>
        <v>18</v>
      </c>
      <c r="D42" s="28" t="n">
        <f aca="false">IF(D13=0,0,D30/(D13/1000))</f>
        <v>17.8426510028155</v>
      </c>
      <c r="E42" s="28" t="n">
        <f aca="false">IF(E13=0,0,E30/(E13/1000))</f>
        <v>17.6866774893484</v>
      </c>
      <c r="F42" s="28" t="n">
        <f aca="false">IF(F13=0,0,F30/(F13/1000))</f>
        <v>17.5320674356553</v>
      </c>
      <c r="G42" s="28" t="n">
        <f aca="false">IF(G13=0,0,G30/(G13/1000))</f>
        <v>17.3788089229013</v>
      </c>
      <c r="H42" s="28" t="n">
        <f aca="false">IF(H13=0,0,H30/(H13/1000))</f>
        <v>17.2268901364413</v>
      </c>
      <c r="I42" s="28" t="n">
        <f aca="false">IF(I13=0,0,I30/(I13/1000))</f>
        <v>17.0762993649093</v>
      </c>
      <c r="J42" s="28" t="n">
        <f aca="false">IF(J13=0,0,J30/(J13/1000))</f>
        <v>16.9270249993153</v>
      </c>
      <c r="K42" s="28" t="n">
        <f aca="false">IF(K13=0,0,K30/(K13/1000))</f>
        <v>16.7790555321508</v>
      </c>
      <c r="L42" s="28" t="n">
        <f aca="false">IF(L13=0,0,L30/(L13/1000))</f>
        <v>16.6323795565015</v>
      </c>
      <c r="M42" s="28" t="n">
        <f aca="false">IF(M13=0,0,M30/(M13/1000))</f>
        <v>16.4869857651677</v>
      </c>
      <c r="N42" s="28" t="n">
        <f aca="false">IF(N13=0,0,N30/(N13/1000))</f>
        <v>16.342862949793</v>
      </c>
      <c r="O42" s="28" t="n">
        <f aca="false">IF(O13=0,0,O30/(O13/1000))</f>
        <v>16.2</v>
      </c>
      <c r="P42" s="28" t="n">
        <f aca="false">IF(P13=0,0,P30/(P13/1000))</f>
        <v>16.0583859025339</v>
      </c>
      <c r="Q42" s="28" t="n">
        <f aca="false">IF(Q13=0,0,Q30/(Q13/1000))</f>
        <v>15.9180097404136</v>
      </c>
      <c r="R42" s="28" t="n">
        <f aca="false">IF(R13=0,0,R30/(R13/1000))</f>
        <v>15.7788606920898</v>
      </c>
      <c r="S42" s="28" t="n">
        <f aca="false">IF(S13=0,0,S30/(S13/1000))</f>
        <v>15.6409280306112</v>
      </c>
      <c r="T42" s="28" t="n">
        <f aca="false">IF(T13=0,0,T30/(T13/1000))</f>
        <v>15.5042011227972</v>
      </c>
      <c r="U42" s="28" t="n">
        <f aca="false">IF(U13=0,0,U30/(U13/1000))</f>
        <v>15.3686694284183</v>
      </c>
      <c r="V42" s="28" t="n">
        <f aca="false">IF(V13=0,0,V30/(V13/1000))</f>
        <v>15.2343224993838</v>
      </c>
      <c r="W42" s="28" t="n">
        <f aca="false">IF(W13=0,0,W30/(W13/1000))</f>
        <v>15.1011499789358</v>
      </c>
      <c r="X42" s="28" t="n">
        <f aca="false">IF(X13=0,0,X30/(X13/1000))</f>
        <v>14.9691416008514</v>
      </c>
      <c r="Y42" s="28" t="n">
        <f aca="false">IF(Y13=0,0,Y30/(Y13/1000))</f>
        <v>14.838287188651</v>
      </c>
      <c r="Z42" s="28" t="n">
        <f aca="false">IF(Z13=0,0,Z30/(Z13/1000))</f>
        <v>14.7085766548137</v>
      </c>
      <c r="AA42" s="28" t="n">
        <f aca="false">IF(AA13=0,0,AA30/(AA13/1000))</f>
        <v>14.58</v>
      </c>
      <c r="AB42" s="28" t="n">
        <f aca="false">IF(AB13=0,0,AB30/(AB13/1000))</f>
        <v>14.4525473122805</v>
      </c>
      <c r="AC42" s="28" t="n">
        <f aca="false">IF(AC13=0,0,AC30/(AC13/1000))</f>
        <v>14.3262087663722</v>
      </c>
      <c r="AD42" s="28" t="n">
        <f aca="false">IF(AD13=0,0,AD30/(AD13/1000))</f>
        <v>14.2009746228808</v>
      </c>
      <c r="AE42" s="28" t="n">
        <f aca="false">IF(AE13=0,0,AE30/(AE13/1000))</f>
        <v>14.0768352275501</v>
      </c>
      <c r="AF42" s="28" t="n">
        <f aca="false">IF(AF13=0,0,AF30/(AF13/1000))</f>
        <v>13.9537810105175</v>
      </c>
      <c r="AG42" s="28" t="n">
        <f aca="false">IF(AG13=0,0,AG30/(AG13/1000))</f>
        <v>13.8318024855765</v>
      </c>
      <c r="AH42" s="28" t="n">
        <f aca="false">IF(AH13=0,0,AH30/(AH13/1000))</f>
        <v>13.7108902494454</v>
      </c>
      <c r="AI42" s="28" t="n">
        <f aca="false">IF(AI13=0,0,AI30/(AI13/1000))</f>
        <v>13.5910349810422</v>
      </c>
      <c r="AJ42" s="28" t="n">
        <f aca="false">IF(AJ13=0,0,AJ30/(AJ13/1000))</f>
        <v>13.4722274407662</v>
      </c>
      <c r="AK42" s="28" t="n">
        <f aca="false">IF(AK13=0,0,AK30/(AK13/1000))</f>
        <v>13.3544584697859</v>
      </c>
      <c r="AL42" s="28" t="n">
        <f aca="false">IF(AL13=0,0,AL30/(AL13/1000))</f>
        <v>13.2377189893323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4" min="2" style="0" width="18"/>
    <col collapsed="false" customWidth="true" hidden="false" outlineLevel="0" max="5" min="5" style="0" width="62"/>
  </cols>
  <sheetData>
    <row r="1" customFormat="false" ht="17.35" hidden="false" customHeight="false" outlineLevel="0" collapsed="false">
      <c r="A1" s="1" t="s">
        <v>297</v>
      </c>
    </row>
    <row r="2" customFormat="false" ht="15" hidden="false" customHeight="false" outlineLevel="0" collapsed="false">
      <c r="A2" s="2" t="s">
        <v>298</v>
      </c>
    </row>
    <row r="4" customFormat="false" ht="15" hidden="false" customHeight="false" outlineLevel="0" collapsed="false">
      <c r="A4" s="3" t="s">
        <v>299</v>
      </c>
      <c r="B4" s="4" t="s">
        <v>179</v>
      </c>
      <c r="C4" s="4" t="s">
        <v>180</v>
      </c>
      <c r="D4" s="4" t="s">
        <v>181</v>
      </c>
      <c r="E4" s="4" t="s">
        <v>300</v>
      </c>
    </row>
    <row r="5" customFormat="false" ht="15" hidden="false" customHeight="false" outlineLevel="0" collapsed="false">
      <c r="A5" s="7" t="s">
        <v>301</v>
      </c>
      <c r="B5" s="29" t="n">
        <f aca="false">Inputs!$C$31</f>
        <v>750000</v>
      </c>
      <c r="C5" s="29" t="n">
        <f aca="false">Inputs!$C$31</f>
        <v>750000</v>
      </c>
      <c r="D5" s="29" t="n">
        <f aca="false">Inputs!$C$31</f>
        <v>750000</v>
      </c>
      <c r="E5" s="6" t="s">
        <v>302</v>
      </c>
    </row>
    <row r="6" customFormat="false" ht="15" hidden="false" customHeight="false" outlineLevel="0" collapsed="false">
      <c r="A6" s="7" t="s">
        <v>303</v>
      </c>
      <c r="B6" s="30" t="n">
        <f aca="false">Model_Low!$AL$36</f>
        <v>751854.41900645</v>
      </c>
      <c r="C6" s="30" t="n">
        <f aca="false">Model_Base!$AL$36</f>
        <v>1570739.52087375</v>
      </c>
      <c r="D6" s="30" t="n">
        <f aca="false">Model_High!$AL$36</f>
        <v>3275287.43286957</v>
      </c>
      <c r="E6" s="6" t="s">
        <v>304</v>
      </c>
    </row>
    <row r="7" customFormat="false" ht="15" hidden="false" customHeight="false" outlineLevel="0" collapsed="false">
      <c r="A7" s="19" t="s">
        <v>305</v>
      </c>
      <c r="B7" s="31" t="n">
        <f aca="false">IF(B5=0,"n/a",(B6-B5)/B5)</f>
        <v>0.0024725586752668</v>
      </c>
      <c r="C7" s="31" t="n">
        <f aca="false">IF(C5=0,"n/a",(C6-C5)/C5)</f>
        <v>1.094319361165</v>
      </c>
      <c r="D7" s="31" t="n">
        <f aca="false">IF(D5=0,"n/a",(D6-D5)/D5)</f>
        <v>3.36704991049275</v>
      </c>
      <c r="E7" s="6" t="s">
        <v>306</v>
      </c>
    </row>
    <row r="8" customFormat="false" ht="15" hidden="false" customHeight="false" outlineLevel="0" collapsed="false">
      <c r="A8" s="7" t="s">
        <v>242</v>
      </c>
      <c r="B8" s="32" t="n">
        <f aca="false">Inputs!$C$35</f>
        <v>0.6885</v>
      </c>
      <c r="C8" s="32" t="n">
        <f aca="false">Inputs!$C$35</f>
        <v>0.6885</v>
      </c>
      <c r="D8" s="32" t="n">
        <f aca="false">Inputs!$C$35</f>
        <v>0.6885</v>
      </c>
      <c r="E8" s="6" t="s">
        <v>307</v>
      </c>
    </row>
    <row r="9" customFormat="false" ht="15" hidden="false" customHeight="false" outlineLevel="0" collapsed="false">
      <c r="A9" s="7" t="s">
        <v>308</v>
      </c>
      <c r="B9" s="30" t="n">
        <f aca="false">B6*B8</f>
        <v>517651.767485941</v>
      </c>
      <c r="C9" s="30" t="n">
        <f aca="false">C6*C8</f>
        <v>1081454.16012158</v>
      </c>
      <c r="D9" s="30" t="n">
        <f aca="false">D6*D8</f>
        <v>2255035.3975307</v>
      </c>
      <c r="E9" s="6" t="s">
        <v>309</v>
      </c>
    </row>
    <row r="10" customFormat="false" ht="15" hidden="false" customHeight="false" outlineLevel="0" collapsed="false">
      <c r="A10" s="19" t="s">
        <v>310</v>
      </c>
      <c r="B10" s="31" t="n">
        <f aca="false">IF(B5=0,"n/a",(B9-B5)/B5)</f>
        <v>-0.309797643352079</v>
      </c>
      <c r="C10" s="31" t="n">
        <f aca="false">IF(C5=0,"n/a",(C9-C5)/C5)</f>
        <v>0.441938880162101</v>
      </c>
      <c r="D10" s="31" t="n">
        <f aca="false">IF(D5=0,"n/a",(D9-D5)/D5)</f>
        <v>2.00671386337426</v>
      </c>
      <c r="E10" s="6" t="s">
        <v>311</v>
      </c>
    </row>
    <row r="11" customFormat="false" ht="15" hidden="false" customHeight="false" outlineLevel="0" collapsed="false">
      <c r="A11" s="7" t="s">
        <v>109</v>
      </c>
      <c r="B11" s="33" t="n">
        <f aca="false">IFERROR(INDEX(Model_Low!$C$8:$AL$8,MATCH(1,Model_Low!$C$38:$AL$38,0)),"Beyond 36 months")</f>
        <v>36</v>
      </c>
      <c r="C11" s="33" t="n">
        <f aca="false">IFERROR(INDEX(Model_Base!$C$8:$AL$8,MATCH(1,Model_Base!$C$38:$AL$38,0)),"Beyond 36 months")</f>
        <v>26</v>
      </c>
      <c r="D11" s="33" t="n">
        <f aca="false">IFERROR(INDEX(Model_High!$C$8:$AL$8,MATCH(1,Model_High!$C$38:$AL$38,0)),"Beyond 36 months")</f>
        <v>21</v>
      </c>
      <c r="E11" s="6" t="s">
        <v>312</v>
      </c>
    </row>
    <row r="12" customFormat="false" ht="15" hidden="false" customHeight="false" outlineLevel="0" collapsed="false">
      <c r="A12" s="7" t="s">
        <v>313</v>
      </c>
      <c r="B12" s="30" t="n">
        <f aca="false">MIN(Model_Low!$C$37:$AL$37)</f>
        <v>-738352</v>
      </c>
      <c r="C12" s="30" t="n">
        <f aca="false">MIN(Model_Base!$C$37:$AL$37)</f>
        <v>-737872</v>
      </c>
      <c r="D12" s="30" t="n">
        <f aca="false">MIN(Model_High!$C$37:$AL$37)</f>
        <v>-736912</v>
      </c>
      <c r="E12" s="6" t="s">
        <v>314</v>
      </c>
    </row>
    <row r="13" customFormat="false" ht="15" hidden="false" customHeight="false" outlineLevel="0" collapsed="false">
      <c r="A13" s="7" t="s">
        <v>315</v>
      </c>
      <c r="B13" s="33" t="n">
        <f aca="false">INDEX(Model_Low!$C$8:$AL$8,MATCH(B12,Model_Low!$C$37:$AL$37,0))</f>
        <v>1</v>
      </c>
      <c r="C13" s="33" t="n">
        <f aca="false">INDEX(Model_Base!$C$8:$AL$8,MATCH(C12,Model_Base!$C$37:$AL$37,0))</f>
        <v>1</v>
      </c>
      <c r="D13" s="33" t="n">
        <f aca="false">INDEX(Model_High!$C$8:$AL$8,MATCH(D12,Model_High!$C$37:$AL$37,0))</f>
        <v>1</v>
      </c>
      <c r="E13" s="6" t="s">
        <v>316</v>
      </c>
    </row>
    <row r="15" customFormat="false" ht="15" hidden="false" customHeight="false" outlineLevel="0" collapsed="false">
      <c r="A15" s="3" t="s">
        <v>317</v>
      </c>
      <c r="B15" s="4" t="s">
        <v>318</v>
      </c>
      <c r="C15" s="4"/>
      <c r="D15" s="4"/>
      <c r="E15" s="4"/>
    </row>
    <row r="16" customFormat="false" ht="15" hidden="false" customHeight="false" outlineLevel="0" collapsed="false">
      <c r="A16" s="7" t="s">
        <v>319</v>
      </c>
      <c r="B16" s="31" t="n">
        <f aca="false">B10</f>
        <v>-0.309797643352079</v>
      </c>
    </row>
    <row r="17" customFormat="false" ht="15" hidden="false" customHeight="false" outlineLevel="0" collapsed="false">
      <c r="A17" s="7" t="s">
        <v>320</v>
      </c>
      <c r="B17" s="31" t="n">
        <f aca="false">C10</f>
        <v>0.441938880162101</v>
      </c>
    </row>
    <row r="18" customFormat="false" ht="15" hidden="false" customHeight="false" outlineLevel="0" collapsed="false">
      <c r="A18" s="7" t="s">
        <v>321</v>
      </c>
      <c r="B18" s="31" t="n">
        <f aca="false">C7</f>
        <v>1.094319361165</v>
      </c>
    </row>
    <row r="19" customFormat="false" ht="15" hidden="false" customHeight="false" outlineLevel="0" collapsed="false">
      <c r="A19" s="7" t="s">
        <v>322</v>
      </c>
      <c r="B19" s="31" t="n">
        <f aca="false">D7</f>
        <v>3.36704991049275</v>
      </c>
    </row>
    <row r="21" customFormat="false" ht="15" hidden="false" customHeight="false" outlineLevel="0" collapsed="false">
      <c r="A21" s="3" t="s">
        <v>323</v>
      </c>
      <c r="B21" s="4" t="s">
        <v>196</v>
      </c>
      <c r="C21" s="4"/>
      <c r="D21" s="4"/>
      <c r="E21" s="4" t="s">
        <v>300</v>
      </c>
    </row>
    <row r="22" customFormat="false" ht="15" hidden="false" customHeight="false" outlineLevel="0" collapsed="false">
      <c r="A22" s="7" t="s">
        <v>246</v>
      </c>
      <c r="B22" s="34" t="n">
        <f aca="false">Inputs!$C$37</f>
        <v>12</v>
      </c>
    </row>
    <row r="23" customFormat="false" ht="15" hidden="false" customHeight="false" outlineLevel="0" collapsed="false">
      <c r="A23" s="19" t="s">
        <v>324</v>
      </c>
      <c r="B23" s="31" t="n">
        <f aca="false">IF(OR(Inputs!$C$38=0,Inputs!$C$37&lt;1,Inputs!$C$37&gt;36),"Enter actuals on Inputs",(Inputs!$C$39-Inputs!$C$38)/Inputs!$C$38)</f>
        <v>-0.746666666666667</v>
      </c>
      <c r="E23" s="6" t="s">
        <v>325</v>
      </c>
    </row>
    <row r="24" customFormat="false" ht="15" hidden="false" customHeight="false" outlineLevel="0" collapsed="false">
      <c r="A24" s="7" t="s">
        <v>326</v>
      </c>
      <c r="B24" s="35" t="n">
        <f aca="false">IF(OR(Inputs!$C$31=0,Inputs!$C$37&lt;1,Inputs!$C$37&gt;36),"n/a",(INDEX(Model_Base!$C$36:$AL$36,Inputs!$C$37)-Inputs!$C$31)/Inputs!$C$31)</f>
        <v>-0.713698100271159</v>
      </c>
      <c r="E24" s="6" t="s">
        <v>327</v>
      </c>
    </row>
    <row r="25" customFormat="false" ht="23.85" hidden="false" customHeight="false" outlineLevel="0" collapsed="false">
      <c r="A25" s="7" t="s">
        <v>328</v>
      </c>
      <c r="B25" s="35" t="n">
        <f aca="false">IF(AND(ISNUMBER(B23),ISNUMBER(B24)),B23-B24,"n/a")</f>
        <v>-0.0329685663955082</v>
      </c>
      <c r="E25" s="6" t="s">
        <v>329</v>
      </c>
    </row>
    <row r="27" customFormat="false" ht="15" hidden="false" customHeight="false" outlineLevel="0" collapsed="false">
      <c r="A27" s="9" t="s">
        <v>330</v>
      </c>
      <c r="B27" s="10"/>
      <c r="C27" s="10"/>
      <c r="D27" s="10"/>
      <c r="E27" s="10"/>
    </row>
    <row r="28" customFormat="false" ht="15" hidden="false" customHeight="false" outlineLevel="0" collapsed="false">
      <c r="A28" s="3" t="s">
        <v>331</v>
      </c>
      <c r="B28" s="36" t="n">
        <v>1</v>
      </c>
      <c r="C28" s="36" t="n">
        <v>2</v>
      </c>
      <c r="D28" s="36" t="n">
        <v>3</v>
      </c>
      <c r="E28" s="4"/>
    </row>
    <row r="29" customFormat="false" ht="15" hidden="false" customHeight="false" outlineLevel="0" collapsed="false">
      <c r="A29" s="19" t="s">
        <v>179</v>
      </c>
    </row>
    <row r="30" customFormat="false" ht="15" hidden="false" customHeight="false" outlineLevel="0" collapsed="false">
      <c r="A30" s="7" t="s">
        <v>332</v>
      </c>
      <c r="B30" s="30" t="n">
        <f aca="false">SUMIFS(Model_Low!$C$22:$AL$22,Model_Low!$C$9:$AL$9,B$28)</f>
        <v>406370.727645536</v>
      </c>
      <c r="C30" s="30" t="n">
        <f aca="false">SUMIFS(Model_Low!$C$22:$AL$22,Model_Low!$C$9:$AL$9,C$28)</f>
        <v>547163.625879496</v>
      </c>
      <c r="D30" s="30" t="n">
        <f aca="false">SUMIFS(Model_Low!$C$22:$AL$22,Model_Low!$C$9:$AL$9,D$28)</f>
        <v>736736.219215925</v>
      </c>
    </row>
    <row r="31" customFormat="false" ht="15" hidden="false" customHeight="false" outlineLevel="0" collapsed="false">
      <c r="A31" s="7" t="s">
        <v>333</v>
      </c>
      <c r="B31" s="30" t="n">
        <f aca="false">SUMIFS(Model_Low!$C$32:$AL$32,Model_Low!$C$9:$AL$9,B$28)</f>
        <v>239399.129716144</v>
      </c>
      <c r="C31" s="30" t="n">
        <f aca="false">SUMIFS(Model_Low!$C$32:$AL$32,Model_Low!$C$9:$AL$9,C$28)</f>
        <v>306225.653408647</v>
      </c>
      <c r="D31" s="30" t="n">
        <f aca="false">SUMIFS(Model_Low!$C$32:$AL$32,Model_Low!$C$9:$AL$9,D$28)</f>
        <v>392791.370609716</v>
      </c>
    </row>
    <row r="32" customFormat="false" ht="15" hidden="false" customHeight="false" outlineLevel="0" collapsed="false">
      <c r="A32" s="7" t="s">
        <v>334</v>
      </c>
      <c r="B32" s="30" t="n">
        <f aca="false">SUMIFS(Model_Low!$C$34:$AL$34,Model_Low!$C$9:$AL$9,B$28)</f>
        <v>166971.597929392</v>
      </c>
      <c r="C32" s="30" t="n">
        <f aca="false">SUMIFS(Model_Low!$C$34:$AL$34,Model_Low!$C$9:$AL$9,C$28)</f>
        <v>240937.972470849</v>
      </c>
      <c r="D32" s="30" t="n">
        <f aca="false">SUMIFS(Model_Low!$C$34:$AL$34,Model_Low!$C$9:$AL$9,D$28)</f>
        <v>343944.848606209</v>
      </c>
    </row>
    <row r="33" customFormat="false" ht="15" hidden="false" customHeight="false" outlineLevel="0" collapsed="false">
      <c r="A33" s="7" t="s">
        <v>335</v>
      </c>
      <c r="B33" s="35" t="n">
        <f aca="false">IF(B30=0,0,B32/B30)</f>
        <v>0.410884905260785</v>
      </c>
      <c r="C33" s="35" t="n">
        <f aca="false">IF(C30=0,0,C32/C30)</f>
        <v>0.440339892995576</v>
      </c>
      <c r="D33" s="35" t="n">
        <f aca="false">IF(D30=0,0,D32/D30)</f>
        <v>0.466849381956888</v>
      </c>
    </row>
    <row r="34" customFormat="false" ht="15" hidden="false" customHeight="false" outlineLevel="0" collapsed="false">
      <c r="A34" s="19" t="s">
        <v>180</v>
      </c>
    </row>
    <row r="35" customFormat="false" ht="15" hidden="false" customHeight="false" outlineLevel="0" collapsed="false">
      <c r="A35" s="7" t="s">
        <v>332</v>
      </c>
      <c r="B35" s="30" t="n">
        <f aca="false">SUMIFS(Model_Base!$C$22:$AL$22,Model_Base!$C$9:$AL$9,B$28)</f>
        <v>469686.681711364</v>
      </c>
      <c r="C35" s="30" t="n">
        <f aca="false">SUMIFS(Model_Base!$C$22:$AL$22,Model_Base!$C$9:$AL$9,C$28)</f>
        <v>847353.841373132</v>
      </c>
      <c r="D35" s="30" t="n">
        <f aca="false">SUMIFS(Model_Base!$C$22:$AL$22,Model_Base!$C$9:$AL$9,D$28)</f>
        <v>1528696.81097545</v>
      </c>
    </row>
    <row r="36" customFormat="false" ht="15" hidden="false" customHeight="false" outlineLevel="0" collapsed="false">
      <c r="A36" s="7" t="s">
        <v>333</v>
      </c>
      <c r="B36" s="30" t="n">
        <f aca="false">SUMIFS(Model_Base!$C$32:$AL$32,Model_Base!$C$9:$AL$9,B$28)</f>
        <v>254960.256914733</v>
      </c>
      <c r="C36" s="30" t="n">
        <f aca="false">SUMIFS(Model_Base!$C$32:$AL$32,Model_Base!$C$9:$AL$9,C$28)</f>
        <v>395956.329716282</v>
      </c>
      <c r="D36" s="30" t="n">
        <f aca="false">SUMIFS(Model_Base!$C$32:$AL$32,Model_Base!$C$9:$AL$9,D$28)</f>
        <v>624081.226555182</v>
      </c>
    </row>
    <row r="37" customFormat="false" ht="15" hidden="false" customHeight="false" outlineLevel="0" collapsed="false">
      <c r="A37" s="7" t="s">
        <v>334</v>
      </c>
      <c r="B37" s="30" t="n">
        <f aca="false">SUMIFS(Model_Base!$C$34:$AL$34,Model_Base!$C$9:$AL$9,B$28)</f>
        <v>214726.424796631</v>
      </c>
      <c r="C37" s="30" t="n">
        <f aca="false">SUMIFS(Model_Base!$C$34:$AL$34,Model_Base!$C$9:$AL$9,C$28)</f>
        <v>451397.51165685</v>
      </c>
      <c r="D37" s="30" t="n">
        <f aca="false">SUMIFS(Model_Base!$C$34:$AL$34,Model_Base!$C$9:$AL$9,D$28)</f>
        <v>904615.584420267</v>
      </c>
    </row>
    <row r="38" customFormat="false" ht="15" hidden="false" customHeight="false" outlineLevel="0" collapsed="false">
      <c r="A38" s="7" t="s">
        <v>335</v>
      </c>
      <c r="B38" s="35" t="n">
        <f aca="false">IF(B35=0,0,B37/B35)</f>
        <v>0.457169498641621</v>
      </c>
      <c r="C38" s="35" t="n">
        <f aca="false">IF(C35=0,0,C37/C35)</f>
        <v>0.532714303773454</v>
      </c>
      <c r="D38" s="35" t="n">
        <f aca="false">IF(D35=0,0,D37/D35)</f>
        <v>0.591756048632717</v>
      </c>
    </row>
    <row r="39" customFormat="false" ht="15" hidden="false" customHeight="false" outlineLevel="0" collapsed="false">
      <c r="A39" s="19" t="s">
        <v>181</v>
      </c>
    </row>
    <row r="40" customFormat="false" ht="15" hidden="false" customHeight="false" outlineLevel="0" collapsed="false">
      <c r="A40" s="7" t="s">
        <v>332</v>
      </c>
      <c r="B40" s="30" t="n">
        <f aca="false">SUMIFS(Model_High!$C$22:$AL$22,Model_High!$C$9:$AL$9,B$28)</f>
        <v>545287.240253042</v>
      </c>
      <c r="C40" s="30" t="n">
        <f aca="false">SUMIFS(Model_High!$C$22:$AL$22,Model_High!$C$9:$AL$9,C$28)</f>
        <v>1311862.22108364</v>
      </c>
      <c r="D40" s="30" t="n">
        <f aca="false">SUMIFS(Model_High!$C$22:$AL$22,Model_High!$C$9:$AL$9,D$28)</f>
        <v>3156102.61906712</v>
      </c>
    </row>
    <row r="41" customFormat="false" ht="15" hidden="false" customHeight="false" outlineLevel="0" collapsed="false">
      <c r="A41" s="7" t="s">
        <v>333</v>
      </c>
      <c r="B41" s="30" t="n">
        <f aca="false">SUMIFS(Model_High!$C$32:$AL$32,Model_High!$C$9:$AL$9,B$28)</f>
        <v>263089.335743286</v>
      </c>
      <c r="C41" s="30" t="n">
        <f aca="false">SUMIFS(Model_High!$C$32:$AL$32,Model_High!$C$9:$AL$9,C$28)</f>
        <v>497067.497932787</v>
      </c>
      <c r="D41" s="30" t="n">
        <f aca="false">SUMIFS(Model_High!$C$32:$AL$32,Model_High!$C$9:$AL$9,D$28)</f>
        <v>977807.813858162</v>
      </c>
    </row>
    <row r="42" customFormat="false" ht="15" hidden="false" customHeight="false" outlineLevel="0" collapsed="false">
      <c r="A42" s="7" t="s">
        <v>334</v>
      </c>
      <c r="B42" s="30" t="n">
        <f aca="false">SUMIFS(Model_High!$C$34:$AL$34,Model_High!$C$9:$AL$9,B$28)</f>
        <v>282197.904509755</v>
      </c>
      <c r="C42" s="30" t="n">
        <f aca="false">SUMIFS(Model_High!$C$34:$AL$34,Model_High!$C$9:$AL$9,C$28)</f>
        <v>814794.723150855</v>
      </c>
      <c r="D42" s="30" t="n">
        <f aca="false">SUMIFS(Model_High!$C$34:$AL$34,Model_High!$C$9:$AL$9,D$28)</f>
        <v>2178294.80520896</v>
      </c>
    </row>
    <row r="43" customFormat="false" ht="15" hidden="false" customHeight="false" outlineLevel="0" collapsed="false">
      <c r="A43" s="7" t="s">
        <v>335</v>
      </c>
      <c r="B43" s="35" t="n">
        <f aca="false">IF(B40=0,0,B42/B40)</f>
        <v>0.517521562358218</v>
      </c>
      <c r="C43" s="35" t="n">
        <f aca="false">IF(C40=0,0,C42/C40)</f>
        <v>0.621097787599834</v>
      </c>
      <c r="D43" s="35" t="n">
        <f aca="false">IF(D40=0,0,D42/D40)</f>
        <v>0.690185037726314</v>
      </c>
    </row>
    <row r="45" customFormat="false" ht="15" hidden="false" customHeight="false" outlineLevel="0" collapsed="false">
      <c r="A45" s="3" t="s">
        <v>336</v>
      </c>
      <c r="B45" s="4" t="s">
        <v>179</v>
      </c>
      <c r="C45" s="4" t="s">
        <v>180</v>
      </c>
      <c r="D45" s="4" t="s">
        <v>181</v>
      </c>
      <c r="E45" s="4" t="s">
        <v>300</v>
      </c>
    </row>
    <row r="46" customFormat="false" ht="15" hidden="false" customHeight="false" outlineLevel="0" collapsed="false">
      <c r="A46" s="7" t="s">
        <v>337</v>
      </c>
      <c r="B46" s="35" t="n">
        <f aca="false">IF(SUM(Model_Low!$C$32:$AL$32)=0,0,SUM(Model_Low!$C$25:$AL$25)/SUM(Model_Low!$C$32:$AL$32))</f>
        <v>0.469430575413531</v>
      </c>
      <c r="C46" s="35" t="n">
        <f aca="false">IF(SUM(Model_Base!$C$32:$AL$32)=0,0,SUM(Model_Base!$C$25:$AL$25)/SUM(Model_Base!$C$32:$AL$32))</f>
        <v>0.39227412848174</v>
      </c>
      <c r="D46" s="35" t="n">
        <f aca="false">IF(SUM(Model_High!$C$32:$AL$32)=0,0,SUM(Model_High!$C$25:$AL$25)/SUM(Model_High!$C$32:$AL$32))</f>
        <v>0.285634375379439</v>
      </c>
    </row>
    <row r="47" customFormat="false" ht="15" hidden="false" customHeight="false" outlineLevel="0" collapsed="false">
      <c r="A47" s="7" t="s">
        <v>280</v>
      </c>
      <c r="B47" s="35" t="n">
        <f aca="false">IF(SUM(Model_Low!$C$32:$AL$32)=0,0,SUM(Model_Low!$C$27:$AL$27)/SUM(Model_Low!$C$32:$AL$32))</f>
        <v>0.264305801915768</v>
      </c>
      <c r="C47" s="35" t="n">
        <f aca="false">IF(SUM(Model_Base!$C$32:$AL$32)=0,0,SUM(Model_Base!$C$27:$AL$27)/SUM(Model_Base!$C$32:$AL$32))</f>
        <v>0.29767688255968</v>
      </c>
      <c r="D47" s="35" t="n">
        <f aca="false">IF(SUM(Model_High!$C$32:$AL$32)=0,0,SUM(Model_High!$C$27:$AL$27)/SUM(Model_High!$C$32:$AL$32))</f>
        <v>0.342082768503911</v>
      </c>
      <c r="E47" s="6" t="s">
        <v>338</v>
      </c>
    </row>
    <row r="48" customFormat="false" ht="15" hidden="false" customHeight="false" outlineLevel="0" collapsed="false">
      <c r="A48" s="7" t="s">
        <v>281</v>
      </c>
      <c r="B48" s="35" t="n">
        <f aca="false">IF(SUM(Model_Low!$C$32:$AL$32)=0,0,SUM(Model_Low!$C$28:$AL$28)/SUM(Model_Low!$C$32:$AL$32))</f>
        <v>0.0660764504789421</v>
      </c>
      <c r="C48" s="35" t="n">
        <f aca="false">IF(SUM(Model_Base!$C$32:$AL$32)=0,0,SUM(Model_Base!$C$28:$AL$28)/SUM(Model_Base!$C$32:$AL$32))</f>
        <v>0.0744192206399199</v>
      </c>
      <c r="D48" s="35" t="n">
        <f aca="false">IF(SUM(Model_High!$C$32:$AL$32)=0,0,SUM(Model_High!$C$28:$AL$28)/SUM(Model_High!$C$32:$AL$32))</f>
        <v>0.0855206921259777</v>
      </c>
    </row>
    <row r="49" customFormat="false" ht="15" hidden="false" customHeight="false" outlineLevel="0" collapsed="false">
      <c r="A49" s="7" t="s">
        <v>282</v>
      </c>
      <c r="B49" s="35" t="n">
        <f aca="false">IF(SUM(Model_Low!$C$32:$AL$32)=0,0,SUM(Model_Low!$C$29:$AL$29)/SUM(Model_Low!$C$32:$AL$32))</f>
        <v>0.110127417464904</v>
      </c>
      <c r="C49" s="35" t="n">
        <f aca="false">IF(SUM(Model_Base!$C$32:$AL$32)=0,0,SUM(Model_Base!$C$29:$AL$29)/SUM(Model_Base!$C$32:$AL$32))</f>
        <v>0.124032034399867</v>
      </c>
      <c r="D49" s="35" t="n">
        <f aca="false">IF(SUM(Model_High!$C$32:$AL$32)=0,0,SUM(Model_High!$C$29:$AL$29)/SUM(Model_High!$C$32:$AL$32))</f>
        <v>0.142534486876629</v>
      </c>
    </row>
    <row r="50" customFormat="false" ht="15" hidden="false" customHeight="false" outlineLevel="0" collapsed="false">
      <c r="A50" s="7" t="s">
        <v>339</v>
      </c>
      <c r="B50" s="35" t="n">
        <f aca="false">IF(SUM(Model_Low!$C$32:$AL$32)=0,0,SUM(Model_Low!$C$31:$AL$31)/SUM(Model_Low!$C$32:$AL$32))</f>
        <v>0.0900597547268545</v>
      </c>
      <c r="C50" s="35" t="n">
        <f aca="false">IF(SUM(Model_Base!$C$32:$AL$32)=0,0,SUM(Model_Base!$C$31:$AL$31)/SUM(Model_Base!$C$32:$AL$32))</f>
        <v>0.111597733918794</v>
      </c>
      <c r="D50" s="35" t="n">
        <f aca="false">IF(SUM(Model_High!$C$32:$AL$32)=0,0,SUM(Model_High!$C$31:$AL$31)/SUM(Model_High!$C$32:$AL$32))</f>
        <v>0.144227677114043</v>
      </c>
    </row>
    <row r="51" customFormat="false" ht="15" hidden="false" customHeight="false" outlineLevel="0" collapsed="false">
      <c r="A51" s="2" t="s">
        <v>340</v>
      </c>
      <c r="B51" s="37" t="n">
        <f aca="false">SUM(B46:B50)</f>
        <v>1</v>
      </c>
      <c r="C51" s="37" t="n">
        <f aca="false">SUM(C46:C50)</f>
        <v>1</v>
      </c>
      <c r="D51" s="37" t="n">
        <f aca="false">SUM(D46:D50)</f>
        <v>1</v>
      </c>
    </row>
    <row r="53" customFormat="false" ht="15" hidden="false" customHeight="false" outlineLevel="0" collapsed="false">
      <c r="A53" s="3" t="s">
        <v>341</v>
      </c>
      <c r="B53" s="4" t="s">
        <v>179</v>
      </c>
      <c r="C53" s="4" t="s">
        <v>180</v>
      </c>
      <c r="D53" s="4" t="s">
        <v>181</v>
      </c>
      <c r="E53" s="4" t="s">
        <v>300</v>
      </c>
    </row>
    <row r="54" customFormat="false" ht="15" hidden="false" customHeight="false" outlineLevel="0" collapsed="false">
      <c r="A54" s="7" t="s">
        <v>342</v>
      </c>
      <c r="B54" s="38" t="n">
        <f aca="false">Model_Low!$C$41</f>
        <v>44.48</v>
      </c>
      <c r="C54" s="38" t="n">
        <f aca="false">Model_Base!$C$41</f>
        <v>43.28</v>
      </c>
      <c r="D54" s="38" t="n">
        <f aca="false">Model_High!$C$41</f>
        <v>40.88</v>
      </c>
    </row>
    <row r="55" customFormat="false" ht="15" hidden="false" customHeight="false" outlineLevel="0" collapsed="false">
      <c r="A55" s="7" t="s">
        <v>343</v>
      </c>
      <c r="B55" s="38" t="n">
        <f aca="false">Model_Low!$AL$41</f>
        <v>38.4477773864876</v>
      </c>
      <c r="C55" s="38" t="n">
        <f aca="false">Model_Base!$AL$41</f>
        <v>28.5124558027187</v>
      </c>
      <c r="D55" s="38" t="n">
        <f aca="false">Model_High!$AL$41</f>
        <v>21.2452717922864</v>
      </c>
    </row>
    <row r="56" customFormat="false" ht="15" hidden="false" customHeight="false" outlineLevel="0" collapsed="false">
      <c r="A56" s="7" t="s">
        <v>344</v>
      </c>
      <c r="B56" s="35" t="n">
        <f aca="false">IF(B54=0,0,B55/B54-1)</f>
        <v>-0.135616515591555</v>
      </c>
      <c r="C56" s="35" t="n">
        <f aca="false">IF(C54=0,0,C55/C54-1)</f>
        <v>-0.341209431545316</v>
      </c>
      <c r="D56" s="35" t="n">
        <f aca="false">IF(D54=0,0,D55/D54-1)</f>
        <v>-0.480301570638788</v>
      </c>
      <c r="E56" s="6" t="s">
        <v>345</v>
      </c>
    </row>
    <row r="57" customFormat="false" ht="15" hidden="false" customHeight="false" outlineLevel="0" collapsed="false">
      <c r="A57" s="7" t="s">
        <v>346</v>
      </c>
      <c r="B57" s="30" t="n">
        <f aca="false">B31</f>
        <v>239399.129716144</v>
      </c>
      <c r="C57" s="30" t="n">
        <f aca="false">B36</f>
        <v>254960.256914733</v>
      </c>
      <c r="D57" s="30" t="n">
        <f aca="false">B41</f>
        <v>263089.335743286</v>
      </c>
    </row>
    <row r="58" customFormat="false" ht="15" hidden="false" customHeight="false" outlineLevel="0" collapsed="false">
      <c r="A58" s="7" t="s">
        <v>347</v>
      </c>
      <c r="B58" s="30" t="n">
        <f aca="false">D31</f>
        <v>392791.370609716</v>
      </c>
      <c r="C58" s="30" t="n">
        <f aca="false">D36</f>
        <v>624081.226555182</v>
      </c>
      <c r="D58" s="30" t="n">
        <f aca="false">D41</f>
        <v>977807.813858162</v>
      </c>
    </row>
    <row r="59" customFormat="false" ht="23.85" hidden="false" customHeight="false" outlineLevel="0" collapsed="false">
      <c r="A59" s="7" t="s">
        <v>348</v>
      </c>
      <c r="B59" s="35" t="n">
        <f aca="false">IF(B57=0,0,B58/B57-1)</f>
        <v>0.640738506758358</v>
      </c>
      <c r="C59" s="35" t="n">
        <f aca="false">IF(C57=0,0,C58/C57-1)</f>
        <v>1.44775885507479</v>
      </c>
      <c r="D59" s="35" t="n">
        <f aca="false">IF(D57=0,0,D58/D57-1)</f>
        <v>2.71663796670297</v>
      </c>
      <c r="E59" s="6" t="s">
        <v>349</v>
      </c>
    </row>
    <row r="60" customFormat="false" ht="15" hidden="false" customHeight="false" outlineLevel="0" collapsed="false">
      <c r="A60" s="7" t="s">
        <v>350</v>
      </c>
      <c r="B60" s="35" t="n">
        <f aca="false">IF(SUM(Model_Low!$C$22:$AL$22)=0,0,SUM(Model_Low!$C$30:$AL$30)/SUM(Model_Low!$C$22:$AL$22))</f>
        <v>0.244565217391304</v>
      </c>
      <c r="C60" s="35" t="n">
        <f aca="false">IF(SUM(Model_Base!$C$22:$AL$22)=0,0,SUM(Model_Base!$C$30:$AL$30)/SUM(Model_Base!$C$22:$AL$22))</f>
        <v>0.222284145106604</v>
      </c>
      <c r="D60" s="35" t="n">
        <f aca="false">IF(SUM(Model_High!$C$22:$AL$22)=0,0,SUM(Model_High!$C$30:$AL$30)/SUM(Model_High!$C$22:$AL$22))</f>
        <v>0.197652059200711</v>
      </c>
    </row>
    <row r="61" customFormat="false" ht="15" hidden="false" customHeight="false" outlineLevel="0" collapsed="false">
      <c r="A61" s="7" t="s">
        <v>351</v>
      </c>
      <c r="B61" s="35" t="n">
        <f aca="false">IF(SUM(Model_Low!$C$22:$AL$22)=0,0,SUM(Model_Low!$C$25:$AL$25)/SUM(Model_Low!$C$22:$AL$22))</f>
        <v>0.26062172656215</v>
      </c>
      <c r="C61" s="35" t="n">
        <f aca="false">IF(SUM(Model_Base!$C$22:$AL$22)=0,0,SUM(Model_Base!$C$25:$AL$25)/SUM(Model_Base!$C$22:$AL$22))</f>
        <v>0.175753626308929</v>
      </c>
      <c r="D61" s="35" t="n">
        <f aca="false">IF(SUM(Model_High!$C$22:$AL$22)=0,0,SUM(Model_High!$C$25:$AL$25)/SUM(Model_High!$C$22:$AL$22))</f>
        <v>0.099022039699628</v>
      </c>
    </row>
    <row r="63" customFormat="false" ht="15" hidden="false" customHeight="false" outlineLevel="0" collapsed="false">
      <c r="A63" s="3" t="s">
        <v>352</v>
      </c>
      <c r="B63" s="4" t="s">
        <v>253</v>
      </c>
      <c r="C63" s="4"/>
      <c r="D63" s="4"/>
      <c r="E63" s="4" t="s">
        <v>254</v>
      </c>
    </row>
    <row r="64" customFormat="false" ht="15" hidden="false" customHeight="false" outlineLevel="0" collapsed="false">
      <c r="A64" s="7" t="s">
        <v>353</v>
      </c>
      <c r="B64" s="39" t="str">
        <f aca="false">IF(ABS(SUM(Model_Low!$C$22:$AL$22)-SUM(Model_Low!$C$32:$AL$32)-SUM(Model_Low!$C$34:$AL$34))+ABS(SUM(Model_Base!$C$22:$AL$22)-SUM(Model_Base!$C$32:$AL$32)-SUM(Model_Base!$C$34:$AL$34))+ABS(SUM(Model_High!$C$22:$AL$22)-SUM(Model_High!$C$32:$AL$32)-SUM(Model_High!$C$34:$AL$34))&lt;0.01,"OK","CHECK")</f>
        <v>OK</v>
      </c>
    </row>
    <row r="65" customFormat="false" ht="15" hidden="false" customHeight="false" outlineLevel="0" collapsed="false">
      <c r="A65" s="7" t="s">
        <v>354</v>
      </c>
      <c r="B65" s="39" t="str">
        <f aca="false">IF(ABS(SUM(B37:D37)-C6)&lt;0.01,"OK","CHECK")</f>
        <v>OK</v>
      </c>
    </row>
    <row r="66" customFormat="false" ht="15" hidden="false" customHeight="false" outlineLevel="0" collapsed="false">
      <c r="A66" s="7" t="s">
        <v>355</v>
      </c>
      <c r="B66" s="39" t="str">
        <f aca="false">IF(COUNTIF(Inputs!C42:C46,"CHECK")=0,"OK","CHECK")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2026-10-01T23:36:56Z</dcterms:created>
  <dc:creator>openpyxl</dc:creator>
  <dc:description/>
  <dc:language>en-US</dc:language>
  <cp:lastModifiedBy/>
  <dcterms:modified xsi:type="dcterms:W3CDTF">2026-10-01T23:36:58Z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